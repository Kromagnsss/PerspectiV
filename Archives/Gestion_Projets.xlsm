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111624\Downloads\PerspectiV\PerspectiV\"/>
    </mc:Choice>
  </mc:AlternateContent>
  <xr:revisionPtr revIDLastSave="0" documentId="13_ncr:1_{2C74C892-ED2D-4692-920F-8C8CC978400B}" xr6:coauthVersionLast="47" xr6:coauthVersionMax="47" xr10:uidLastSave="{00000000-0000-0000-0000-000000000000}"/>
  <bookViews>
    <workbookView xWindow="57480" yWindow="-120" windowWidth="29040" windowHeight="15720" activeTab="3" xr2:uid="{00000000-000D-0000-FFFF-FFFF00000000}"/>
  </bookViews>
  <sheets>
    <sheet name="Récap Projets" sheetId="1" r:id="rId1"/>
    <sheet name="Utilisateurs" sheetId="2" r:id="rId2"/>
    <sheet name="Suivi Temps" sheetId="3" r:id="rId3"/>
    <sheet name="Listes" sheetId="4" r:id="rId4"/>
    <sheet name="Projet_001" sheetId="5" r:id="rId5"/>
    <sheet name="Projet_002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61" i="6" l="1"/>
  <c r="BV61" i="6"/>
  <c r="BU61" i="6"/>
  <c r="BT61" i="6"/>
  <c r="BS61" i="6"/>
  <c r="BR61" i="6"/>
  <c r="BQ61" i="6"/>
  <c r="BP61" i="6"/>
  <c r="BO61" i="6"/>
  <c r="BN61" i="6"/>
  <c r="BM61" i="6"/>
  <c r="BL61" i="6"/>
  <c r="BK61" i="6"/>
  <c r="BJ61" i="6"/>
  <c r="BI61" i="6"/>
  <c r="BH61" i="6"/>
  <c r="BG61" i="6"/>
  <c r="BF61" i="6"/>
  <c r="BE61" i="6"/>
  <c r="BD61" i="6"/>
  <c r="BC61" i="6"/>
  <c r="BB61" i="6"/>
  <c r="BA61" i="6"/>
  <c r="AZ61" i="6"/>
  <c r="AY61" i="6"/>
  <c r="AX61" i="6"/>
  <c r="AW61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J61" i="6"/>
  <c r="BW60" i="6"/>
  <c r="BV60" i="6"/>
  <c r="BU60" i="6"/>
  <c r="BT60" i="6"/>
  <c r="BS60" i="6"/>
  <c r="BR60" i="6"/>
  <c r="BQ60" i="6"/>
  <c r="BP60" i="6"/>
  <c r="BO60" i="6"/>
  <c r="BN60" i="6"/>
  <c r="BM60" i="6"/>
  <c r="BL60" i="6"/>
  <c r="BK60" i="6"/>
  <c r="BJ60" i="6"/>
  <c r="BI60" i="6"/>
  <c r="BH60" i="6"/>
  <c r="BG60" i="6"/>
  <c r="BF60" i="6"/>
  <c r="BE60" i="6"/>
  <c r="BD60" i="6"/>
  <c r="BC60" i="6"/>
  <c r="BB60" i="6"/>
  <c r="BA60" i="6"/>
  <c r="AZ60" i="6"/>
  <c r="AY60" i="6"/>
  <c r="AX60" i="6"/>
  <c r="AW60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J60" i="6"/>
  <c r="BW59" i="6"/>
  <c r="BV59" i="6"/>
  <c r="BU59" i="6"/>
  <c r="BT59" i="6"/>
  <c r="BS59" i="6"/>
  <c r="BR59" i="6"/>
  <c r="BQ59" i="6"/>
  <c r="BP59" i="6"/>
  <c r="BO59" i="6"/>
  <c r="BN59" i="6"/>
  <c r="BM59" i="6"/>
  <c r="BL59" i="6"/>
  <c r="BK59" i="6"/>
  <c r="BJ59" i="6"/>
  <c r="BI59" i="6"/>
  <c r="BH59" i="6"/>
  <c r="BG59" i="6"/>
  <c r="BF59" i="6"/>
  <c r="BE59" i="6"/>
  <c r="BD59" i="6"/>
  <c r="BC59" i="6"/>
  <c r="BB59" i="6"/>
  <c r="BA59" i="6"/>
  <c r="AZ59" i="6"/>
  <c r="AY59" i="6"/>
  <c r="AX59" i="6"/>
  <c r="AW59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J59" i="6"/>
  <c r="BW58" i="6"/>
  <c r="BV58" i="6"/>
  <c r="BU58" i="6"/>
  <c r="BT58" i="6"/>
  <c r="BS58" i="6"/>
  <c r="BR58" i="6"/>
  <c r="BQ58" i="6"/>
  <c r="BP58" i="6"/>
  <c r="BO58" i="6"/>
  <c r="BN58" i="6"/>
  <c r="BM58" i="6"/>
  <c r="BL58" i="6"/>
  <c r="BK58" i="6"/>
  <c r="BJ58" i="6"/>
  <c r="BI58" i="6"/>
  <c r="BH58" i="6"/>
  <c r="BG58" i="6"/>
  <c r="BF58" i="6"/>
  <c r="BE58" i="6"/>
  <c r="BD58" i="6"/>
  <c r="BC58" i="6"/>
  <c r="BB58" i="6"/>
  <c r="BA58" i="6"/>
  <c r="AZ58" i="6"/>
  <c r="AY58" i="6"/>
  <c r="AX58" i="6"/>
  <c r="AW58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J58" i="6"/>
  <c r="BW57" i="6"/>
  <c r="BV57" i="6"/>
  <c r="BU57" i="6"/>
  <c r="BT57" i="6"/>
  <c r="BS57" i="6"/>
  <c r="BR57" i="6"/>
  <c r="BQ57" i="6"/>
  <c r="BP57" i="6"/>
  <c r="BO57" i="6"/>
  <c r="BN57" i="6"/>
  <c r="BM57" i="6"/>
  <c r="BL57" i="6"/>
  <c r="BK57" i="6"/>
  <c r="BJ57" i="6"/>
  <c r="BI57" i="6"/>
  <c r="BH57" i="6"/>
  <c r="BG57" i="6"/>
  <c r="BF57" i="6"/>
  <c r="BE57" i="6"/>
  <c r="BD57" i="6"/>
  <c r="BC57" i="6"/>
  <c r="BB57" i="6"/>
  <c r="BA57" i="6"/>
  <c r="AZ57" i="6"/>
  <c r="AY57" i="6"/>
  <c r="AX57" i="6"/>
  <c r="AW57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J57" i="6"/>
  <c r="BW56" i="6"/>
  <c r="BV56" i="6"/>
  <c r="BU56" i="6"/>
  <c r="BT56" i="6"/>
  <c r="BS56" i="6"/>
  <c r="BR56" i="6"/>
  <c r="BQ56" i="6"/>
  <c r="BP56" i="6"/>
  <c r="BO56" i="6"/>
  <c r="BN56" i="6"/>
  <c r="BM56" i="6"/>
  <c r="BL56" i="6"/>
  <c r="BK56" i="6"/>
  <c r="BJ56" i="6"/>
  <c r="BI56" i="6"/>
  <c r="BH56" i="6"/>
  <c r="BG56" i="6"/>
  <c r="BF56" i="6"/>
  <c r="BE56" i="6"/>
  <c r="BD56" i="6"/>
  <c r="BC56" i="6"/>
  <c r="BB56" i="6"/>
  <c r="BA56" i="6"/>
  <c r="AZ56" i="6"/>
  <c r="AY56" i="6"/>
  <c r="AX56" i="6"/>
  <c r="AW56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J56" i="6"/>
  <c r="BW55" i="6"/>
  <c r="BV55" i="6"/>
  <c r="BU55" i="6"/>
  <c r="BT55" i="6"/>
  <c r="BS55" i="6"/>
  <c r="BR55" i="6"/>
  <c r="BQ55" i="6"/>
  <c r="BP55" i="6"/>
  <c r="BO55" i="6"/>
  <c r="BN55" i="6"/>
  <c r="BM55" i="6"/>
  <c r="BL55" i="6"/>
  <c r="BK55" i="6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J55" i="6"/>
  <c r="BW54" i="6"/>
  <c r="BV54" i="6"/>
  <c r="BU54" i="6"/>
  <c r="BT54" i="6"/>
  <c r="BS54" i="6"/>
  <c r="BR54" i="6"/>
  <c r="BQ54" i="6"/>
  <c r="BP54" i="6"/>
  <c r="BO54" i="6"/>
  <c r="BN5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J54" i="6"/>
  <c r="BW53" i="6"/>
  <c r="BV53" i="6"/>
  <c r="BU53" i="6"/>
  <c r="BT53" i="6"/>
  <c r="BS53" i="6"/>
  <c r="BR53" i="6"/>
  <c r="BQ53" i="6"/>
  <c r="BP53" i="6"/>
  <c r="BO53" i="6"/>
  <c r="BN53" i="6"/>
  <c r="BM53" i="6"/>
  <c r="BL53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J53" i="6"/>
  <c r="BW52" i="6"/>
  <c r="BV52" i="6"/>
  <c r="BU52" i="6"/>
  <c r="BT52" i="6"/>
  <c r="BS52" i="6"/>
  <c r="BR52" i="6"/>
  <c r="BQ52" i="6"/>
  <c r="BP52" i="6"/>
  <c r="BO52" i="6"/>
  <c r="BN52" i="6"/>
  <c r="BM52" i="6"/>
  <c r="BL52" i="6"/>
  <c r="BK52" i="6"/>
  <c r="BJ52" i="6"/>
  <c r="BI52" i="6"/>
  <c r="BH52" i="6"/>
  <c r="BG52" i="6"/>
  <c r="BF52" i="6"/>
  <c r="BE52" i="6"/>
  <c r="BD52" i="6"/>
  <c r="BC52" i="6"/>
  <c r="BB52" i="6"/>
  <c r="BA52" i="6"/>
  <c r="AZ52" i="6"/>
  <c r="AY52" i="6"/>
  <c r="AX52" i="6"/>
  <c r="AW52" i="6"/>
  <c r="AV52" i="6"/>
  <c r="AU52" i="6"/>
  <c r="AT52" i="6"/>
  <c r="AS52" i="6"/>
  <c r="AR52" i="6"/>
  <c r="AQ52" i="6"/>
  <c r="AP52" i="6"/>
  <c r="AO52" i="6"/>
  <c r="AN52" i="6"/>
  <c r="AM52" i="6"/>
  <c r="AL52" i="6"/>
  <c r="AK52" i="6"/>
  <c r="AJ52" i="6"/>
  <c r="AI52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J52" i="6"/>
  <c r="BW51" i="6"/>
  <c r="BV51" i="6"/>
  <c r="BU51" i="6"/>
  <c r="BT51" i="6"/>
  <c r="BS51" i="6"/>
  <c r="BR51" i="6"/>
  <c r="BQ51" i="6"/>
  <c r="BP51" i="6"/>
  <c r="BO51" i="6"/>
  <c r="BN51" i="6"/>
  <c r="BM51" i="6"/>
  <c r="BL51" i="6"/>
  <c r="BK51" i="6"/>
  <c r="BJ51" i="6"/>
  <c r="BI51" i="6"/>
  <c r="BH51" i="6"/>
  <c r="BG51" i="6"/>
  <c r="BF51" i="6"/>
  <c r="BE51" i="6"/>
  <c r="BD51" i="6"/>
  <c r="BC51" i="6"/>
  <c r="BB51" i="6"/>
  <c r="BA51" i="6"/>
  <c r="AZ51" i="6"/>
  <c r="AY51" i="6"/>
  <c r="AX51" i="6"/>
  <c r="AW51" i="6"/>
  <c r="AV51" i="6"/>
  <c r="AU51" i="6"/>
  <c r="AT51" i="6"/>
  <c r="AS51" i="6"/>
  <c r="AR51" i="6"/>
  <c r="AQ51" i="6"/>
  <c r="AP51" i="6"/>
  <c r="AO51" i="6"/>
  <c r="AN51" i="6"/>
  <c r="AM51" i="6"/>
  <c r="AL51" i="6"/>
  <c r="AK51" i="6"/>
  <c r="AJ51" i="6"/>
  <c r="AI51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J51" i="6"/>
  <c r="BW50" i="6"/>
  <c r="BV50" i="6"/>
  <c r="BU50" i="6"/>
  <c r="BT50" i="6"/>
  <c r="BS50" i="6"/>
  <c r="BR50" i="6"/>
  <c r="BQ50" i="6"/>
  <c r="BP50" i="6"/>
  <c r="BO50" i="6"/>
  <c r="BN50" i="6"/>
  <c r="BM50" i="6"/>
  <c r="BL50" i="6"/>
  <c r="BK50" i="6"/>
  <c r="BJ50" i="6"/>
  <c r="BI50" i="6"/>
  <c r="BH50" i="6"/>
  <c r="BG50" i="6"/>
  <c r="BF50" i="6"/>
  <c r="BE50" i="6"/>
  <c r="BD50" i="6"/>
  <c r="BC50" i="6"/>
  <c r="BB50" i="6"/>
  <c r="BA50" i="6"/>
  <c r="AZ50" i="6"/>
  <c r="AY50" i="6"/>
  <c r="AX50" i="6"/>
  <c r="AW50" i="6"/>
  <c r="AV50" i="6"/>
  <c r="AU50" i="6"/>
  <c r="AT50" i="6"/>
  <c r="AS50" i="6"/>
  <c r="AR50" i="6"/>
  <c r="AQ50" i="6"/>
  <c r="AP50" i="6"/>
  <c r="AO50" i="6"/>
  <c r="AN50" i="6"/>
  <c r="AM50" i="6"/>
  <c r="AL50" i="6"/>
  <c r="AK50" i="6"/>
  <c r="AJ50" i="6"/>
  <c r="AI50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J50" i="6"/>
  <c r="BW49" i="6"/>
  <c r="BV49" i="6"/>
  <c r="BU49" i="6"/>
  <c r="BT49" i="6"/>
  <c r="BS49" i="6"/>
  <c r="BR49" i="6"/>
  <c r="BQ49" i="6"/>
  <c r="BP49" i="6"/>
  <c r="BO49" i="6"/>
  <c r="BN49" i="6"/>
  <c r="BM49" i="6"/>
  <c r="BL49" i="6"/>
  <c r="BK49" i="6"/>
  <c r="BJ49" i="6"/>
  <c r="BI49" i="6"/>
  <c r="BH49" i="6"/>
  <c r="BG49" i="6"/>
  <c r="BF49" i="6"/>
  <c r="BE49" i="6"/>
  <c r="BD49" i="6"/>
  <c r="BC49" i="6"/>
  <c r="BB49" i="6"/>
  <c r="BA49" i="6"/>
  <c r="AZ49" i="6"/>
  <c r="AY49" i="6"/>
  <c r="AX49" i="6"/>
  <c r="AW49" i="6"/>
  <c r="AV49" i="6"/>
  <c r="AU49" i="6"/>
  <c r="AT49" i="6"/>
  <c r="AS49" i="6"/>
  <c r="AR49" i="6"/>
  <c r="AQ49" i="6"/>
  <c r="AP49" i="6"/>
  <c r="AO49" i="6"/>
  <c r="AN49" i="6"/>
  <c r="AM49" i="6"/>
  <c r="AL49" i="6"/>
  <c r="AK49" i="6"/>
  <c r="AJ49" i="6"/>
  <c r="AI49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J49" i="6"/>
  <c r="BW48" i="6"/>
  <c r="BV48" i="6"/>
  <c r="BU48" i="6"/>
  <c r="BT48" i="6"/>
  <c r="BS48" i="6"/>
  <c r="BR48" i="6"/>
  <c r="BQ48" i="6"/>
  <c r="BP48" i="6"/>
  <c r="BO48" i="6"/>
  <c r="BN48" i="6"/>
  <c r="BM48" i="6"/>
  <c r="BL48" i="6"/>
  <c r="BK48" i="6"/>
  <c r="BJ48" i="6"/>
  <c r="BI48" i="6"/>
  <c r="BH48" i="6"/>
  <c r="BG48" i="6"/>
  <c r="BF48" i="6"/>
  <c r="BE48" i="6"/>
  <c r="BD48" i="6"/>
  <c r="BC48" i="6"/>
  <c r="BB48" i="6"/>
  <c r="BA48" i="6"/>
  <c r="AZ48" i="6"/>
  <c r="AY48" i="6"/>
  <c r="AX48" i="6"/>
  <c r="AW48" i="6"/>
  <c r="AV48" i="6"/>
  <c r="AU48" i="6"/>
  <c r="AT48" i="6"/>
  <c r="AS48" i="6"/>
  <c r="AR48" i="6"/>
  <c r="AQ48" i="6"/>
  <c r="AP48" i="6"/>
  <c r="AO48" i="6"/>
  <c r="AN48" i="6"/>
  <c r="AM48" i="6"/>
  <c r="AL48" i="6"/>
  <c r="AK48" i="6"/>
  <c r="AJ48" i="6"/>
  <c r="AI48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J48" i="6"/>
  <c r="BW47" i="6"/>
  <c r="BV47" i="6"/>
  <c r="BU47" i="6"/>
  <c r="BT47" i="6"/>
  <c r="BS47" i="6"/>
  <c r="BR47" i="6"/>
  <c r="BQ47" i="6"/>
  <c r="BP47" i="6"/>
  <c r="BO47" i="6"/>
  <c r="BN47" i="6"/>
  <c r="BM47" i="6"/>
  <c r="BL47" i="6"/>
  <c r="BK47" i="6"/>
  <c r="BJ47" i="6"/>
  <c r="BI47" i="6"/>
  <c r="BH47" i="6"/>
  <c r="BG47" i="6"/>
  <c r="BF47" i="6"/>
  <c r="BE47" i="6"/>
  <c r="BD47" i="6"/>
  <c r="BC47" i="6"/>
  <c r="BB47" i="6"/>
  <c r="BA47" i="6"/>
  <c r="AZ47" i="6"/>
  <c r="AY47" i="6"/>
  <c r="AX47" i="6"/>
  <c r="AW47" i="6"/>
  <c r="AV47" i="6"/>
  <c r="AU47" i="6"/>
  <c r="AT47" i="6"/>
  <c r="AS47" i="6"/>
  <c r="AR47" i="6"/>
  <c r="AQ47" i="6"/>
  <c r="AP47" i="6"/>
  <c r="AO47" i="6"/>
  <c r="AN47" i="6"/>
  <c r="AM47" i="6"/>
  <c r="AL47" i="6"/>
  <c r="AK47" i="6"/>
  <c r="AJ47" i="6"/>
  <c r="AI47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J47" i="6"/>
  <c r="BW46" i="6"/>
  <c r="BV46" i="6"/>
  <c r="BU46" i="6"/>
  <c r="BT46" i="6"/>
  <c r="BS46" i="6"/>
  <c r="BR46" i="6"/>
  <c r="BQ46" i="6"/>
  <c r="BP46" i="6"/>
  <c r="BO46" i="6"/>
  <c r="BN46" i="6"/>
  <c r="BM46" i="6"/>
  <c r="BL46" i="6"/>
  <c r="BK46" i="6"/>
  <c r="BJ46" i="6"/>
  <c r="BI46" i="6"/>
  <c r="BH46" i="6"/>
  <c r="BG46" i="6"/>
  <c r="BF46" i="6"/>
  <c r="BE46" i="6"/>
  <c r="BD46" i="6"/>
  <c r="BC46" i="6"/>
  <c r="BB46" i="6"/>
  <c r="BA46" i="6"/>
  <c r="AZ46" i="6"/>
  <c r="AY46" i="6"/>
  <c r="AX46" i="6"/>
  <c r="AW46" i="6"/>
  <c r="AV46" i="6"/>
  <c r="AU46" i="6"/>
  <c r="AT46" i="6"/>
  <c r="AS46" i="6"/>
  <c r="AR46" i="6"/>
  <c r="AQ46" i="6"/>
  <c r="AP46" i="6"/>
  <c r="AO46" i="6"/>
  <c r="AN46" i="6"/>
  <c r="AM46" i="6"/>
  <c r="AL46" i="6"/>
  <c r="AK46" i="6"/>
  <c r="AJ46" i="6"/>
  <c r="AI46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J46" i="6"/>
  <c r="BW45" i="6"/>
  <c r="BV45" i="6"/>
  <c r="BU45" i="6"/>
  <c r="BT45" i="6"/>
  <c r="BS45" i="6"/>
  <c r="BR45" i="6"/>
  <c r="BQ45" i="6"/>
  <c r="BP45" i="6"/>
  <c r="BO45" i="6"/>
  <c r="BN45" i="6"/>
  <c r="BM45" i="6"/>
  <c r="BL45" i="6"/>
  <c r="BK45" i="6"/>
  <c r="BJ45" i="6"/>
  <c r="BI45" i="6"/>
  <c r="BH45" i="6"/>
  <c r="BG45" i="6"/>
  <c r="BF45" i="6"/>
  <c r="BE45" i="6"/>
  <c r="BD45" i="6"/>
  <c r="BC45" i="6"/>
  <c r="BB45" i="6"/>
  <c r="BA45" i="6"/>
  <c r="AZ45" i="6"/>
  <c r="AY45" i="6"/>
  <c r="AX45" i="6"/>
  <c r="AW45" i="6"/>
  <c r="AV45" i="6"/>
  <c r="AU45" i="6"/>
  <c r="AT45" i="6"/>
  <c r="AS45" i="6"/>
  <c r="AR45" i="6"/>
  <c r="AQ45" i="6"/>
  <c r="AP45" i="6"/>
  <c r="AO45" i="6"/>
  <c r="AN45" i="6"/>
  <c r="AM45" i="6"/>
  <c r="AL45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J45" i="6"/>
  <c r="BW44" i="6"/>
  <c r="BV44" i="6"/>
  <c r="BU44" i="6"/>
  <c r="BT44" i="6"/>
  <c r="BS44" i="6"/>
  <c r="BR44" i="6"/>
  <c r="BQ44" i="6"/>
  <c r="BP44" i="6"/>
  <c r="BO44" i="6"/>
  <c r="BN4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J44" i="6"/>
  <c r="BW43" i="6"/>
  <c r="BV43" i="6"/>
  <c r="BU43" i="6"/>
  <c r="BT43" i="6"/>
  <c r="BS43" i="6"/>
  <c r="BR43" i="6"/>
  <c r="BQ43" i="6"/>
  <c r="BP43" i="6"/>
  <c r="BO43" i="6"/>
  <c r="BN43" i="6"/>
  <c r="BM43" i="6"/>
  <c r="BL43" i="6"/>
  <c r="BK43" i="6"/>
  <c r="BJ43" i="6"/>
  <c r="BI43" i="6"/>
  <c r="BH43" i="6"/>
  <c r="BG43" i="6"/>
  <c r="BF43" i="6"/>
  <c r="BE43" i="6"/>
  <c r="BD43" i="6"/>
  <c r="BC43" i="6"/>
  <c r="BB43" i="6"/>
  <c r="BA43" i="6"/>
  <c r="AZ43" i="6"/>
  <c r="AY43" i="6"/>
  <c r="AX43" i="6"/>
  <c r="AW43" i="6"/>
  <c r="AV43" i="6"/>
  <c r="AU43" i="6"/>
  <c r="AT43" i="6"/>
  <c r="AS43" i="6"/>
  <c r="AR43" i="6"/>
  <c r="AQ43" i="6"/>
  <c r="AP43" i="6"/>
  <c r="AO43" i="6"/>
  <c r="AN43" i="6"/>
  <c r="AM43" i="6"/>
  <c r="AL43" i="6"/>
  <c r="AK43" i="6"/>
  <c r="AJ43" i="6"/>
  <c r="AI43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J43" i="6"/>
  <c r="BW42" i="6"/>
  <c r="BV42" i="6"/>
  <c r="BU42" i="6"/>
  <c r="BT42" i="6"/>
  <c r="BS42" i="6"/>
  <c r="BR42" i="6"/>
  <c r="BQ42" i="6"/>
  <c r="BP42" i="6"/>
  <c r="BO42" i="6"/>
  <c r="BN42" i="6"/>
  <c r="BM42" i="6"/>
  <c r="BL42" i="6"/>
  <c r="BK42" i="6"/>
  <c r="BJ42" i="6"/>
  <c r="BI42" i="6"/>
  <c r="BH42" i="6"/>
  <c r="BG42" i="6"/>
  <c r="BF42" i="6"/>
  <c r="BE42" i="6"/>
  <c r="BD42" i="6"/>
  <c r="BC42" i="6"/>
  <c r="BB42" i="6"/>
  <c r="BA42" i="6"/>
  <c r="AZ42" i="6"/>
  <c r="AY42" i="6"/>
  <c r="AX42" i="6"/>
  <c r="AW42" i="6"/>
  <c r="AV42" i="6"/>
  <c r="AU42" i="6"/>
  <c r="AT42" i="6"/>
  <c r="AS42" i="6"/>
  <c r="AR42" i="6"/>
  <c r="AQ42" i="6"/>
  <c r="AP42" i="6"/>
  <c r="AO42" i="6"/>
  <c r="AN42" i="6"/>
  <c r="AM42" i="6"/>
  <c r="AL42" i="6"/>
  <c r="AK42" i="6"/>
  <c r="AJ42" i="6"/>
  <c r="AI42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J42" i="6"/>
  <c r="BW41" i="6"/>
  <c r="BV41" i="6"/>
  <c r="BU41" i="6"/>
  <c r="BT41" i="6"/>
  <c r="BS41" i="6"/>
  <c r="BR41" i="6"/>
  <c r="BQ41" i="6"/>
  <c r="BP41" i="6"/>
  <c r="BO41" i="6"/>
  <c r="BN41" i="6"/>
  <c r="BM41" i="6"/>
  <c r="BL41" i="6"/>
  <c r="BK41" i="6"/>
  <c r="BJ41" i="6"/>
  <c r="BI41" i="6"/>
  <c r="BH41" i="6"/>
  <c r="BG41" i="6"/>
  <c r="BF41" i="6"/>
  <c r="BE41" i="6"/>
  <c r="BD41" i="6"/>
  <c r="BC41" i="6"/>
  <c r="BB41" i="6"/>
  <c r="BA41" i="6"/>
  <c r="AZ41" i="6"/>
  <c r="AY41" i="6"/>
  <c r="AX41" i="6"/>
  <c r="AW41" i="6"/>
  <c r="AV41" i="6"/>
  <c r="AU41" i="6"/>
  <c r="AT41" i="6"/>
  <c r="AS41" i="6"/>
  <c r="AR41" i="6"/>
  <c r="AQ41" i="6"/>
  <c r="AP41" i="6"/>
  <c r="AO41" i="6"/>
  <c r="AN41" i="6"/>
  <c r="AM41" i="6"/>
  <c r="AL41" i="6"/>
  <c r="AK41" i="6"/>
  <c r="AJ41" i="6"/>
  <c r="AI41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J41" i="6"/>
  <c r="BW40" i="6"/>
  <c r="BV40" i="6"/>
  <c r="BU40" i="6"/>
  <c r="BT40" i="6"/>
  <c r="BS40" i="6"/>
  <c r="BR40" i="6"/>
  <c r="BQ40" i="6"/>
  <c r="BP40" i="6"/>
  <c r="BO40" i="6"/>
  <c r="BN40" i="6"/>
  <c r="BM40" i="6"/>
  <c r="BL40" i="6"/>
  <c r="BK40" i="6"/>
  <c r="BJ40" i="6"/>
  <c r="BI40" i="6"/>
  <c r="BH40" i="6"/>
  <c r="BG40" i="6"/>
  <c r="BF40" i="6"/>
  <c r="BE40" i="6"/>
  <c r="BD40" i="6"/>
  <c r="BC40" i="6"/>
  <c r="BB40" i="6"/>
  <c r="BA40" i="6"/>
  <c r="AZ40" i="6"/>
  <c r="AY40" i="6"/>
  <c r="AX40" i="6"/>
  <c r="AW40" i="6"/>
  <c r="AV40" i="6"/>
  <c r="AU40" i="6"/>
  <c r="AT40" i="6"/>
  <c r="AS40" i="6"/>
  <c r="AR40" i="6"/>
  <c r="AQ40" i="6"/>
  <c r="AP40" i="6"/>
  <c r="AO40" i="6"/>
  <c r="AN40" i="6"/>
  <c r="AM40" i="6"/>
  <c r="AL40" i="6"/>
  <c r="AK40" i="6"/>
  <c r="AJ40" i="6"/>
  <c r="AI40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J40" i="6"/>
  <c r="BW39" i="6"/>
  <c r="BV39" i="6"/>
  <c r="BU39" i="6"/>
  <c r="BT39" i="6"/>
  <c r="BS39" i="6"/>
  <c r="BR39" i="6"/>
  <c r="BQ39" i="6"/>
  <c r="BP39" i="6"/>
  <c r="BO39" i="6"/>
  <c r="BN39" i="6"/>
  <c r="BM39" i="6"/>
  <c r="BL39" i="6"/>
  <c r="BK39" i="6"/>
  <c r="BJ39" i="6"/>
  <c r="BI39" i="6"/>
  <c r="BH39" i="6"/>
  <c r="BG39" i="6"/>
  <c r="BF39" i="6"/>
  <c r="BE39" i="6"/>
  <c r="BD39" i="6"/>
  <c r="BC39" i="6"/>
  <c r="BB39" i="6"/>
  <c r="BA39" i="6"/>
  <c r="AZ39" i="6"/>
  <c r="AY39" i="6"/>
  <c r="AX39" i="6"/>
  <c r="AW39" i="6"/>
  <c r="AV39" i="6"/>
  <c r="AU39" i="6"/>
  <c r="AT39" i="6"/>
  <c r="AS39" i="6"/>
  <c r="AR39" i="6"/>
  <c r="AQ39" i="6"/>
  <c r="AP39" i="6"/>
  <c r="AO39" i="6"/>
  <c r="AN39" i="6"/>
  <c r="AM39" i="6"/>
  <c r="AL39" i="6"/>
  <c r="AK39" i="6"/>
  <c r="AJ39" i="6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J39" i="6"/>
  <c r="BW38" i="6"/>
  <c r="BV38" i="6"/>
  <c r="BU38" i="6"/>
  <c r="BT38" i="6"/>
  <c r="BS38" i="6"/>
  <c r="BR38" i="6"/>
  <c r="BQ38" i="6"/>
  <c r="BP38" i="6"/>
  <c r="BO38" i="6"/>
  <c r="BN38" i="6"/>
  <c r="BM38" i="6"/>
  <c r="BL38" i="6"/>
  <c r="BK38" i="6"/>
  <c r="BJ38" i="6"/>
  <c r="BI38" i="6"/>
  <c r="BH38" i="6"/>
  <c r="BG38" i="6"/>
  <c r="BF38" i="6"/>
  <c r="BE38" i="6"/>
  <c r="BD38" i="6"/>
  <c r="BC38" i="6"/>
  <c r="BB38" i="6"/>
  <c r="BA38" i="6"/>
  <c r="AZ38" i="6"/>
  <c r="AY38" i="6"/>
  <c r="AX38" i="6"/>
  <c r="AW38" i="6"/>
  <c r="AV38" i="6"/>
  <c r="AU38" i="6"/>
  <c r="AT38" i="6"/>
  <c r="AS38" i="6"/>
  <c r="AR38" i="6"/>
  <c r="AQ38" i="6"/>
  <c r="AP38" i="6"/>
  <c r="AO38" i="6"/>
  <c r="AN38" i="6"/>
  <c r="AM38" i="6"/>
  <c r="AL38" i="6"/>
  <c r="AK38" i="6"/>
  <c r="AJ38" i="6"/>
  <c r="AI38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J38" i="6"/>
  <c r="BW37" i="6"/>
  <c r="BV37" i="6"/>
  <c r="BU37" i="6"/>
  <c r="BT37" i="6"/>
  <c r="BS37" i="6"/>
  <c r="BR37" i="6"/>
  <c r="BQ37" i="6"/>
  <c r="BP37" i="6"/>
  <c r="BO37" i="6"/>
  <c r="BN37" i="6"/>
  <c r="BM37" i="6"/>
  <c r="BL37" i="6"/>
  <c r="BK37" i="6"/>
  <c r="BJ37" i="6"/>
  <c r="BI37" i="6"/>
  <c r="BH37" i="6"/>
  <c r="BG37" i="6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AM37" i="6"/>
  <c r="AL37" i="6"/>
  <c r="AK37" i="6"/>
  <c r="AJ37" i="6"/>
  <c r="AI37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J37" i="6"/>
  <c r="BW36" i="6"/>
  <c r="BV36" i="6"/>
  <c r="BU36" i="6"/>
  <c r="BT36" i="6"/>
  <c r="BS36" i="6"/>
  <c r="BR36" i="6"/>
  <c r="BQ36" i="6"/>
  <c r="BP36" i="6"/>
  <c r="BO36" i="6"/>
  <c r="BN36" i="6"/>
  <c r="BM36" i="6"/>
  <c r="BL36" i="6"/>
  <c r="BK36" i="6"/>
  <c r="BJ36" i="6"/>
  <c r="BI36" i="6"/>
  <c r="BH36" i="6"/>
  <c r="BG36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AM36" i="6"/>
  <c r="AL36" i="6"/>
  <c r="AK36" i="6"/>
  <c r="AJ36" i="6"/>
  <c r="AI36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J36" i="6"/>
  <c r="BW35" i="6"/>
  <c r="BV35" i="6"/>
  <c r="BU35" i="6"/>
  <c r="BT35" i="6"/>
  <c r="BS35" i="6"/>
  <c r="BR35" i="6"/>
  <c r="BQ35" i="6"/>
  <c r="BP35" i="6"/>
  <c r="BO35" i="6"/>
  <c r="BN35" i="6"/>
  <c r="BM35" i="6"/>
  <c r="BL35" i="6"/>
  <c r="BK35" i="6"/>
  <c r="BJ35" i="6"/>
  <c r="BI35" i="6"/>
  <c r="BH35" i="6"/>
  <c r="BG35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AM35" i="6"/>
  <c r="AL35" i="6"/>
  <c r="AK35" i="6"/>
  <c r="AJ35" i="6"/>
  <c r="AI35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J35" i="6"/>
  <c r="BW34" i="6"/>
  <c r="BV34" i="6"/>
  <c r="BU34" i="6"/>
  <c r="BT34" i="6"/>
  <c r="BS34" i="6"/>
  <c r="BR34" i="6"/>
  <c r="BQ34" i="6"/>
  <c r="BP34" i="6"/>
  <c r="BO34" i="6"/>
  <c r="BN3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J34" i="6"/>
  <c r="BW33" i="6"/>
  <c r="BV33" i="6"/>
  <c r="BU33" i="6"/>
  <c r="BT33" i="6"/>
  <c r="BS33" i="6"/>
  <c r="BR33" i="6"/>
  <c r="BQ33" i="6"/>
  <c r="BP33" i="6"/>
  <c r="BO33" i="6"/>
  <c r="BN33" i="6"/>
  <c r="BM33" i="6"/>
  <c r="BL33" i="6"/>
  <c r="BK33" i="6"/>
  <c r="BJ33" i="6"/>
  <c r="BI33" i="6"/>
  <c r="BH33" i="6"/>
  <c r="BG33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AM33" i="6"/>
  <c r="AL33" i="6"/>
  <c r="AK33" i="6"/>
  <c r="AJ33" i="6"/>
  <c r="AI33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J33" i="6"/>
  <c r="BW32" i="6"/>
  <c r="BV32" i="6"/>
  <c r="BU32" i="6"/>
  <c r="BT32" i="6"/>
  <c r="BS32" i="6"/>
  <c r="BR32" i="6"/>
  <c r="BQ32" i="6"/>
  <c r="BP32" i="6"/>
  <c r="BO32" i="6"/>
  <c r="BN32" i="6"/>
  <c r="BM32" i="6"/>
  <c r="BL32" i="6"/>
  <c r="BK32" i="6"/>
  <c r="BJ32" i="6"/>
  <c r="BI32" i="6"/>
  <c r="BH32" i="6"/>
  <c r="BG32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AM32" i="6"/>
  <c r="AL32" i="6"/>
  <c r="AK32" i="6"/>
  <c r="AJ32" i="6"/>
  <c r="AI32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J32" i="6"/>
  <c r="BW31" i="6"/>
  <c r="BV31" i="6"/>
  <c r="BU31" i="6"/>
  <c r="BT31" i="6"/>
  <c r="BS31" i="6"/>
  <c r="BR31" i="6"/>
  <c r="BQ31" i="6"/>
  <c r="BP31" i="6"/>
  <c r="BO31" i="6"/>
  <c r="BN31" i="6"/>
  <c r="BM31" i="6"/>
  <c r="BL31" i="6"/>
  <c r="BK31" i="6"/>
  <c r="BJ31" i="6"/>
  <c r="BI31" i="6"/>
  <c r="BH31" i="6"/>
  <c r="BG31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AM31" i="6"/>
  <c r="AL31" i="6"/>
  <c r="AK31" i="6"/>
  <c r="AJ31" i="6"/>
  <c r="AI31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J31" i="6"/>
  <c r="BW30" i="6"/>
  <c r="BV30" i="6"/>
  <c r="BU30" i="6"/>
  <c r="BT30" i="6"/>
  <c r="BS30" i="6"/>
  <c r="BR30" i="6"/>
  <c r="BQ30" i="6"/>
  <c r="BP30" i="6"/>
  <c r="BO30" i="6"/>
  <c r="BN30" i="6"/>
  <c r="BM30" i="6"/>
  <c r="BL30" i="6"/>
  <c r="BK30" i="6"/>
  <c r="BJ30" i="6"/>
  <c r="BI30" i="6"/>
  <c r="BH30" i="6"/>
  <c r="BG30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AM30" i="6"/>
  <c r="AL30" i="6"/>
  <c r="AK30" i="6"/>
  <c r="AJ30" i="6"/>
  <c r="AI30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J30" i="6"/>
  <c r="BW29" i="6"/>
  <c r="BV29" i="6"/>
  <c r="BU29" i="6"/>
  <c r="BT29" i="6"/>
  <c r="BS29" i="6"/>
  <c r="BR29" i="6"/>
  <c r="BQ29" i="6"/>
  <c r="BP29" i="6"/>
  <c r="BO29" i="6"/>
  <c r="BN29" i="6"/>
  <c r="BM29" i="6"/>
  <c r="BL29" i="6"/>
  <c r="BK29" i="6"/>
  <c r="BJ29" i="6"/>
  <c r="BI29" i="6"/>
  <c r="BH29" i="6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AM29" i="6"/>
  <c r="AL29" i="6"/>
  <c r="AK29" i="6"/>
  <c r="AJ29" i="6"/>
  <c r="AI29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J29" i="6"/>
  <c r="BW28" i="6"/>
  <c r="BV28" i="6"/>
  <c r="BU28" i="6"/>
  <c r="BT28" i="6"/>
  <c r="BS28" i="6"/>
  <c r="BR28" i="6"/>
  <c r="BQ28" i="6"/>
  <c r="BP28" i="6"/>
  <c r="BO28" i="6"/>
  <c r="BN28" i="6"/>
  <c r="BM28" i="6"/>
  <c r="BL28" i="6"/>
  <c r="BK28" i="6"/>
  <c r="BJ28" i="6"/>
  <c r="BI28" i="6"/>
  <c r="BH28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AM28" i="6"/>
  <c r="AL28" i="6"/>
  <c r="AK28" i="6"/>
  <c r="AJ28" i="6"/>
  <c r="AI28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J28" i="6"/>
  <c r="BW27" i="6"/>
  <c r="BV27" i="6"/>
  <c r="BU27" i="6"/>
  <c r="BT27" i="6"/>
  <c r="BS27" i="6"/>
  <c r="BR27" i="6"/>
  <c r="BQ27" i="6"/>
  <c r="BP27" i="6"/>
  <c r="BO27" i="6"/>
  <c r="BN27" i="6"/>
  <c r="BM27" i="6"/>
  <c r="BL27" i="6"/>
  <c r="BK27" i="6"/>
  <c r="BJ27" i="6"/>
  <c r="BI27" i="6"/>
  <c r="BH27" i="6"/>
  <c r="BG27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AM27" i="6"/>
  <c r="AL27" i="6"/>
  <c r="AK27" i="6"/>
  <c r="AJ27" i="6"/>
  <c r="AI27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J27" i="6"/>
  <c r="BW26" i="6"/>
  <c r="BV26" i="6"/>
  <c r="BU26" i="6"/>
  <c r="BT26" i="6"/>
  <c r="BS26" i="6"/>
  <c r="BR26" i="6"/>
  <c r="BQ26" i="6"/>
  <c r="BP26" i="6"/>
  <c r="BO26" i="6"/>
  <c r="BN26" i="6"/>
  <c r="BM26" i="6"/>
  <c r="BL26" i="6"/>
  <c r="BK26" i="6"/>
  <c r="BJ26" i="6"/>
  <c r="BI26" i="6"/>
  <c r="BH26" i="6"/>
  <c r="BG26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AM26" i="6"/>
  <c r="AL26" i="6"/>
  <c r="AK26" i="6"/>
  <c r="AJ26" i="6"/>
  <c r="AI26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J26" i="6"/>
  <c r="BW25" i="6"/>
  <c r="BV25" i="6"/>
  <c r="BU25" i="6"/>
  <c r="BT25" i="6"/>
  <c r="BS25" i="6"/>
  <c r="BR25" i="6"/>
  <c r="BQ25" i="6"/>
  <c r="BP25" i="6"/>
  <c r="BO25" i="6"/>
  <c r="BN25" i="6"/>
  <c r="BM25" i="6"/>
  <c r="BL25" i="6"/>
  <c r="BK25" i="6"/>
  <c r="BJ25" i="6"/>
  <c r="BI25" i="6"/>
  <c r="BH25" i="6"/>
  <c r="BG25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J25" i="6"/>
  <c r="BW24" i="6"/>
  <c r="BV24" i="6"/>
  <c r="BU24" i="6"/>
  <c r="BT24" i="6"/>
  <c r="BS24" i="6"/>
  <c r="BR24" i="6"/>
  <c r="BQ24" i="6"/>
  <c r="BP24" i="6"/>
  <c r="BO24" i="6"/>
  <c r="BN2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J24" i="6"/>
  <c r="BW23" i="6"/>
  <c r="BV23" i="6"/>
  <c r="BU23" i="6"/>
  <c r="BT23" i="6"/>
  <c r="BS23" i="6"/>
  <c r="BR23" i="6"/>
  <c r="BQ23" i="6"/>
  <c r="BP23" i="6"/>
  <c r="BO23" i="6"/>
  <c r="BN23" i="6"/>
  <c r="BM23" i="6"/>
  <c r="BL23" i="6"/>
  <c r="BK23" i="6"/>
  <c r="BJ23" i="6"/>
  <c r="BI23" i="6"/>
  <c r="BH23" i="6"/>
  <c r="BG23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AM23" i="6"/>
  <c r="AL23" i="6"/>
  <c r="AK23" i="6"/>
  <c r="AJ23" i="6"/>
  <c r="AI23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J23" i="6"/>
  <c r="BW22" i="6"/>
  <c r="BV22" i="6"/>
  <c r="BU22" i="6"/>
  <c r="BT22" i="6"/>
  <c r="BS22" i="6"/>
  <c r="BR22" i="6"/>
  <c r="BQ22" i="6"/>
  <c r="BP22" i="6"/>
  <c r="BO22" i="6"/>
  <c r="BN22" i="6"/>
  <c r="BM22" i="6"/>
  <c r="BL22" i="6"/>
  <c r="BK22" i="6"/>
  <c r="BJ22" i="6"/>
  <c r="BI22" i="6"/>
  <c r="BH22" i="6"/>
  <c r="BG22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AM22" i="6"/>
  <c r="AL22" i="6"/>
  <c r="AK22" i="6"/>
  <c r="AJ22" i="6"/>
  <c r="AI22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J22" i="6"/>
  <c r="BW21" i="6"/>
  <c r="BV21" i="6"/>
  <c r="BU21" i="6"/>
  <c r="BT21" i="6"/>
  <c r="BS21" i="6"/>
  <c r="BR21" i="6"/>
  <c r="BQ21" i="6"/>
  <c r="BP21" i="6"/>
  <c r="BO21" i="6"/>
  <c r="BN21" i="6"/>
  <c r="BM21" i="6"/>
  <c r="BL21" i="6"/>
  <c r="BK21" i="6"/>
  <c r="BJ21" i="6"/>
  <c r="BI21" i="6"/>
  <c r="BH21" i="6"/>
  <c r="BG21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AM21" i="6"/>
  <c r="AL21" i="6"/>
  <c r="AK21" i="6"/>
  <c r="AJ21" i="6"/>
  <c r="AI21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J21" i="6"/>
  <c r="BW20" i="6"/>
  <c r="BV20" i="6"/>
  <c r="BU20" i="6"/>
  <c r="BT20" i="6"/>
  <c r="BS20" i="6"/>
  <c r="BR20" i="6"/>
  <c r="BQ20" i="6"/>
  <c r="BP20" i="6"/>
  <c r="BO20" i="6"/>
  <c r="BN20" i="6"/>
  <c r="BM20" i="6"/>
  <c r="BL20" i="6"/>
  <c r="BK20" i="6"/>
  <c r="BJ20" i="6"/>
  <c r="BI20" i="6"/>
  <c r="BH20" i="6"/>
  <c r="BG20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AM20" i="6"/>
  <c r="AL20" i="6"/>
  <c r="AK20" i="6"/>
  <c r="AJ20" i="6"/>
  <c r="AI20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J20" i="6"/>
  <c r="BW19" i="6"/>
  <c r="BV19" i="6"/>
  <c r="BU19" i="6"/>
  <c r="BT19" i="6"/>
  <c r="BS19" i="6"/>
  <c r="BR19" i="6"/>
  <c r="BQ19" i="6"/>
  <c r="BP19" i="6"/>
  <c r="BO19" i="6"/>
  <c r="BN19" i="6"/>
  <c r="BM19" i="6"/>
  <c r="BL19" i="6"/>
  <c r="BK19" i="6"/>
  <c r="BJ19" i="6"/>
  <c r="BI19" i="6"/>
  <c r="BH19" i="6"/>
  <c r="BG19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AM19" i="6"/>
  <c r="AL19" i="6"/>
  <c r="AK19" i="6"/>
  <c r="AJ19" i="6"/>
  <c r="AI19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J19" i="6"/>
  <c r="BW18" i="6"/>
  <c r="BV18" i="6"/>
  <c r="BU18" i="6"/>
  <c r="BT18" i="6"/>
  <c r="BS18" i="6"/>
  <c r="BR18" i="6"/>
  <c r="BQ18" i="6"/>
  <c r="BP18" i="6"/>
  <c r="BO18" i="6"/>
  <c r="BN18" i="6"/>
  <c r="BM18" i="6"/>
  <c r="BL18" i="6"/>
  <c r="BK18" i="6"/>
  <c r="BJ18" i="6"/>
  <c r="BI18" i="6"/>
  <c r="BH18" i="6"/>
  <c r="BG18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AM18" i="6"/>
  <c r="AL18" i="6"/>
  <c r="AK18" i="6"/>
  <c r="AJ18" i="6"/>
  <c r="AI18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J18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J17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J16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J15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J14" i="6"/>
  <c r="BW13" i="6"/>
  <c r="BV13" i="6"/>
  <c r="BU13" i="6"/>
  <c r="BT13" i="6"/>
  <c r="BS13" i="6"/>
  <c r="BR13" i="6"/>
  <c r="BQ13" i="6"/>
  <c r="BP13" i="6"/>
  <c r="BO13" i="6"/>
  <c r="BN13" i="6"/>
  <c r="BM13" i="6"/>
  <c r="BL13" i="6"/>
  <c r="BK13" i="6"/>
  <c r="BJ13" i="6"/>
  <c r="BI13" i="6"/>
  <c r="BH13" i="6"/>
  <c r="BG13" i="6"/>
  <c r="BF13" i="6"/>
  <c r="BE13" i="6"/>
  <c r="BD13" i="6"/>
  <c r="BC13" i="6"/>
  <c r="BB13" i="6"/>
  <c r="BA13" i="6"/>
  <c r="AZ13" i="6"/>
  <c r="AY13" i="6"/>
  <c r="AX13" i="6"/>
  <c r="AW13" i="6"/>
  <c r="AV13" i="6"/>
  <c r="AU13" i="6"/>
  <c r="AT13" i="6"/>
  <c r="AS13" i="6"/>
  <c r="AR13" i="6"/>
  <c r="AQ13" i="6"/>
  <c r="AP13" i="6"/>
  <c r="AO13" i="6"/>
  <c r="AN13" i="6"/>
  <c r="AM13" i="6"/>
  <c r="AL13" i="6"/>
  <c r="AK13" i="6"/>
  <c r="AJ13" i="6"/>
  <c r="AI13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J13" i="6"/>
  <c r="BW12" i="6"/>
  <c r="BV12" i="6"/>
  <c r="BU12" i="6"/>
  <c r="BT12" i="6"/>
  <c r="BS12" i="6"/>
  <c r="BR12" i="6"/>
  <c r="BQ12" i="6"/>
  <c r="BP12" i="6"/>
  <c r="BO12" i="6"/>
  <c r="BN12" i="6"/>
  <c r="BM12" i="6"/>
  <c r="BL12" i="6"/>
  <c r="BK12" i="6"/>
  <c r="BJ12" i="6"/>
  <c r="BI12" i="6"/>
  <c r="BH12" i="6"/>
  <c r="BG12" i="6"/>
  <c r="BF12" i="6"/>
  <c r="BE12" i="6"/>
  <c r="BD12" i="6"/>
  <c r="BC12" i="6"/>
  <c r="BB12" i="6"/>
  <c r="BA12" i="6"/>
  <c r="AZ12" i="6"/>
  <c r="AY12" i="6"/>
  <c r="AX12" i="6"/>
  <c r="AW12" i="6"/>
  <c r="AV12" i="6"/>
  <c r="AU12" i="6"/>
  <c r="AT12" i="6"/>
  <c r="AS12" i="6"/>
  <c r="AR12" i="6"/>
  <c r="AQ12" i="6"/>
  <c r="AP12" i="6"/>
  <c r="AO12" i="6"/>
  <c r="AN12" i="6"/>
  <c r="AM12" i="6"/>
  <c r="AL12" i="6"/>
  <c r="AK12" i="6"/>
  <c r="AJ12" i="6"/>
  <c r="AI12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J12" i="6"/>
  <c r="B7" i="6" s="1"/>
  <c r="BW11" i="6"/>
  <c r="BV11" i="6"/>
  <c r="BU11" i="6"/>
  <c r="BT11" i="6"/>
  <c r="BS11" i="6"/>
  <c r="BR11" i="6"/>
  <c r="BQ11" i="6"/>
  <c r="BP11" i="6"/>
  <c r="BO11" i="6"/>
  <c r="BN11" i="6"/>
  <c r="BM11" i="6"/>
  <c r="BL11" i="6"/>
  <c r="BK11" i="6"/>
  <c r="BJ11" i="6"/>
  <c r="BI11" i="6"/>
  <c r="BH11" i="6"/>
  <c r="BG11" i="6"/>
  <c r="BF11" i="6"/>
  <c r="BE11" i="6"/>
  <c r="BD11" i="6"/>
  <c r="BC11" i="6"/>
  <c r="BB11" i="6"/>
  <c r="BA11" i="6"/>
  <c r="AZ11" i="6"/>
  <c r="AY11" i="6"/>
  <c r="AX11" i="6"/>
  <c r="AW11" i="6"/>
  <c r="AV11" i="6"/>
  <c r="AU11" i="6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J11" i="6"/>
  <c r="B8" i="6"/>
  <c r="B6" i="6"/>
  <c r="B5" i="6"/>
  <c r="B4" i="6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J61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J60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J59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J58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J57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J56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J55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J54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J53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J52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J51" i="5"/>
  <c r="BW50" i="5"/>
  <c r="BV50" i="5"/>
  <c r="BU50" i="5"/>
  <c r="BT50" i="5"/>
  <c r="BS50" i="5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J50" i="5"/>
  <c r="BW49" i="5"/>
  <c r="BV49" i="5"/>
  <c r="BU49" i="5"/>
  <c r="BT49" i="5"/>
  <c r="BS49" i="5"/>
  <c r="BR49" i="5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J49" i="5"/>
  <c r="BW48" i="5"/>
  <c r="BV48" i="5"/>
  <c r="BU48" i="5"/>
  <c r="BT48" i="5"/>
  <c r="BS48" i="5"/>
  <c r="BR48" i="5"/>
  <c r="BQ48" i="5"/>
  <c r="BP48" i="5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J48" i="5"/>
  <c r="BW47" i="5"/>
  <c r="BV47" i="5"/>
  <c r="BU47" i="5"/>
  <c r="BT47" i="5"/>
  <c r="BS47" i="5"/>
  <c r="BR47" i="5"/>
  <c r="BQ47" i="5"/>
  <c r="BP47" i="5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J47" i="5"/>
  <c r="BW46" i="5"/>
  <c r="BV46" i="5"/>
  <c r="BU46" i="5"/>
  <c r="BT46" i="5"/>
  <c r="BS46" i="5"/>
  <c r="BR46" i="5"/>
  <c r="BQ46" i="5"/>
  <c r="BP46" i="5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J46" i="5"/>
  <c r="BW45" i="5"/>
  <c r="BV45" i="5"/>
  <c r="BU45" i="5"/>
  <c r="BT45" i="5"/>
  <c r="BS45" i="5"/>
  <c r="BR45" i="5"/>
  <c r="BQ45" i="5"/>
  <c r="BP45" i="5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J45" i="5"/>
  <c r="BW44" i="5"/>
  <c r="BV44" i="5"/>
  <c r="BU44" i="5"/>
  <c r="BT44" i="5"/>
  <c r="BS44" i="5"/>
  <c r="BR44" i="5"/>
  <c r="BQ44" i="5"/>
  <c r="BP44" i="5"/>
  <c r="BO44" i="5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J44" i="5"/>
  <c r="BW43" i="5"/>
  <c r="BV43" i="5"/>
  <c r="BU43" i="5"/>
  <c r="BT43" i="5"/>
  <c r="BS43" i="5"/>
  <c r="BR43" i="5"/>
  <c r="BQ43" i="5"/>
  <c r="BP43" i="5"/>
  <c r="BO43" i="5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J43" i="5"/>
  <c r="BW42" i="5"/>
  <c r="BV42" i="5"/>
  <c r="BU42" i="5"/>
  <c r="BT42" i="5"/>
  <c r="BS42" i="5"/>
  <c r="BR42" i="5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J42" i="5"/>
  <c r="BW41" i="5"/>
  <c r="BV41" i="5"/>
  <c r="BU41" i="5"/>
  <c r="BT41" i="5"/>
  <c r="BS41" i="5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J41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J40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J39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J38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J37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J36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J35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J34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J33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J32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J31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J30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J29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J28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J27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J26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J25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J24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J23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J22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J21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J20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J19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J18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J17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J16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J15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J14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J13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J12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J11" i="5"/>
  <c r="B8" i="5"/>
  <c r="B7" i="5"/>
  <c r="B6" i="5"/>
  <c r="B5" i="5"/>
  <c r="B4" i="5"/>
</calcChain>
</file>

<file path=xl/sharedStrings.xml><?xml version="1.0" encoding="utf-8"?>
<sst xmlns="http://schemas.openxmlformats.org/spreadsheetml/2006/main" count="391" uniqueCount="209">
  <si>
    <t>Gestion multi-projets</t>
  </si>
  <si>
    <t>ID Projet</t>
  </si>
  <si>
    <t>Nom</t>
  </si>
  <si>
    <t>Chef de projet</t>
  </si>
  <si>
    <t>Statut</t>
  </si>
  <si>
    <t>Onglet</t>
  </si>
  <si>
    <t>Lien</t>
  </si>
  <si>
    <t>P001</t>
  </si>
  <si>
    <t>Projet pilote</t>
  </si>
  <si>
    <t>Alice Martin</t>
  </si>
  <si>
    <t>En cours</t>
  </si>
  <si>
    <t>Projet_001</t>
  </si>
  <si>
    <t>Ouvrir</t>
  </si>
  <si>
    <t>P002</t>
  </si>
  <si>
    <t>Projet client</t>
  </si>
  <si>
    <t>Karim Benali</t>
  </si>
  <si>
    <t>À lancer</t>
  </si>
  <si>
    <t>Projet_002</t>
  </si>
  <si>
    <t>Utilisateurs</t>
  </si>
  <si>
    <t>Rôle</t>
  </si>
  <si>
    <t>Taux horaire</t>
  </si>
  <si>
    <t>Email</t>
  </si>
  <si>
    <t>alice@example.com</t>
  </si>
  <si>
    <t>Analyste</t>
  </si>
  <si>
    <t>karim@example.com</t>
  </si>
  <si>
    <t>Léa Dubois</t>
  </si>
  <si>
    <t>Développeuse</t>
  </si>
  <si>
    <t>lea@example.com</t>
  </si>
  <si>
    <t>Nina Rossi</t>
  </si>
  <si>
    <t>QA / Déploiement</t>
  </si>
  <si>
    <t>nina@example.com</t>
  </si>
  <si>
    <t>Suivi des temps</t>
  </si>
  <si>
    <t>Réf. tâche</t>
  </si>
  <si>
    <t>Utilisateur</t>
  </si>
  <si>
    <t>Date</t>
  </si>
  <si>
    <t>Heures effectives</t>
  </si>
  <si>
    <t>Commentaire</t>
  </si>
  <si>
    <t>P001-002</t>
  </si>
  <si>
    <t>Kick-off</t>
  </si>
  <si>
    <t>P001-003</t>
  </si>
  <si>
    <t>Entretiens</t>
  </si>
  <si>
    <t>Niveaux</t>
  </si>
  <si>
    <t>Statuts</t>
  </si>
  <si>
    <t>Aide</t>
  </si>
  <si>
    <t>Réf. tâches</t>
  </si>
  <si>
    <t>Les ressources utilisent une liste déroulante utilisateur; séparez plusieurs noms par ;</t>
  </si>
  <si>
    <t>P001-001</t>
  </si>
  <si>
    <t>Les temps passés sont calculés avec SUMIFS depuis Suivi Temps.</t>
  </si>
  <si>
    <t>Terminé</t>
  </si>
  <si>
    <t>Les colonnes Parent et Prédécesseurs stockent les liens parent/enfant et dépendances Gantt.</t>
  </si>
  <si>
    <t>En retard</t>
  </si>
  <si>
    <t>Ajoutez de nouveaux onglets projet en dupliquant un onglet Projet_XXX.</t>
  </si>
  <si>
    <t>P001-004</t>
  </si>
  <si>
    <t>P001-005</t>
  </si>
  <si>
    <t>P001-006</t>
  </si>
  <si>
    <t>P001-007</t>
  </si>
  <si>
    <t>P001-008</t>
  </si>
  <si>
    <t>P001-009</t>
  </si>
  <si>
    <t>P001-010</t>
  </si>
  <si>
    <t>P001-011</t>
  </si>
  <si>
    <t>P001-012</t>
  </si>
  <si>
    <t>P001-013</t>
  </si>
  <si>
    <t>P001-014</t>
  </si>
  <si>
    <t>P001-015</t>
  </si>
  <si>
    <t>P001-016</t>
  </si>
  <si>
    <t>P001-017</t>
  </si>
  <si>
    <t>P001-018</t>
  </si>
  <si>
    <t>P001-019</t>
  </si>
  <si>
    <t>P001-020</t>
  </si>
  <si>
    <t>P001-021</t>
  </si>
  <si>
    <t>P001-022</t>
  </si>
  <si>
    <t>P001-023</t>
  </si>
  <si>
    <t>P001-024</t>
  </si>
  <si>
    <t>P001-025</t>
  </si>
  <si>
    <t>P001-026</t>
  </si>
  <si>
    <t>P001-027</t>
  </si>
  <si>
    <t>P001-028</t>
  </si>
  <si>
    <t>P001-029</t>
  </si>
  <si>
    <t>P001-030</t>
  </si>
  <si>
    <t>P001-031</t>
  </si>
  <si>
    <t>P001-032</t>
  </si>
  <si>
    <t>P001-033</t>
  </si>
  <si>
    <t>P001-034</t>
  </si>
  <si>
    <t>P001-035</t>
  </si>
  <si>
    <t>P001-036</t>
  </si>
  <si>
    <t>P001-037</t>
  </si>
  <si>
    <t>P001-038</t>
  </si>
  <si>
    <t>P001-039</t>
  </si>
  <si>
    <t>P001-040</t>
  </si>
  <si>
    <t>P001-041</t>
  </si>
  <si>
    <t>P001-042</t>
  </si>
  <si>
    <t>P001-043</t>
  </si>
  <si>
    <t>P001-044</t>
  </si>
  <si>
    <t>P001-045</t>
  </si>
  <si>
    <t>P001-046</t>
  </si>
  <si>
    <t>P001-047</t>
  </si>
  <si>
    <t>P001-048</t>
  </si>
  <si>
    <t>P001-049</t>
  </si>
  <si>
    <t>P001-050</t>
  </si>
  <si>
    <t>P001-051</t>
  </si>
  <si>
    <t>P001-052</t>
  </si>
  <si>
    <t>P001-053</t>
  </si>
  <si>
    <t>P001-054</t>
  </si>
  <si>
    <t>P001-055</t>
  </si>
  <si>
    <t>P001-056</t>
  </si>
  <si>
    <t>P001-057</t>
  </si>
  <si>
    <t>P001-058</t>
  </si>
  <si>
    <t>P001-059</t>
  </si>
  <si>
    <t>P001-060</t>
  </si>
  <si>
    <t>P002-001</t>
  </si>
  <si>
    <t>P002-002</t>
  </si>
  <si>
    <t>P002-003</t>
  </si>
  <si>
    <t>P002-004</t>
  </si>
  <si>
    <t>P002-005</t>
  </si>
  <si>
    <t>P002-006</t>
  </si>
  <si>
    <t>P002-007</t>
  </si>
  <si>
    <t>P002-008</t>
  </si>
  <si>
    <t>P002-009</t>
  </si>
  <si>
    <t>P002-010</t>
  </si>
  <si>
    <t>P002-011</t>
  </si>
  <si>
    <t>P002-012</t>
  </si>
  <si>
    <t>P002-013</t>
  </si>
  <si>
    <t>P002-014</t>
  </si>
  <si>
    <t>P002-015</t>
  </si>
  <si>
    <t>P002-016</t>
  </si>
  <si>
    <t>P002-017</t>
  </si>
  <si>
    <t>P002-018</t>
  </si>
  <si>
    <t>P002-019</t>
  </si>
  <si>
    <t>P002-020</t>
  </si>
  <si>
    <t>P002-021</t>
  </si>
  <si>
    <t>P002-022</t>
  </si>
  <si>
    <t>P002-023</t>
  </si>
  <si>
    <t>P002-024</t>
  </si>
  <si>
    <t>P002-025</t>
  </si>
  <si>
    <t>P002-026</t>
  </si>
  <si>
    <t>P002-027</t>
  </si>
  <si>
    <t>P002-028</t>
  </si>
  <si>
    <t>P002-029</t>
  </si>
  <si>
    <t>P002-030</t>
  </si>
  <si>
    <t>P002-031</t>
  </si>
  <si>
    <t>P002-032</t>
  </si>
  <si>
    <t>P002-033</t>
  </si>
  <si>
    <t>P002-034</t>
  </si>
  <si>
    <t>P002-035</t>
  </si>
  <si>
    <t>P002-036</t>
  </si>
  <si>
    <t>P002-037</t>
  </si>
  <si>
    <t>P002-038</t>
  </si>
  <si>
    <t>P002-039</t>
  </si>
  <si>
    <t>P002-040</t>
  </si>
  <si>
    <t>P002-041</t>
  </si>
  <si>
    <t>P002-042</t>
  </si>
  <si>
    <t>P002-043</t>
  </si>
  <si>
    <t>P002-044</t>
  </si>
  <si>
    <t>P002-045</t>
  </si>
  <si>
    <t>P002-046</t>
  </si>
  <si>
    <t>P002-047</t>
  </si>
  <si>
    <t>P002-048</t>
  </si>
  <si>
    <t>P002-049</t>
  </si>
  <si>
    <t>P002-050</t>
  </si>
  <si>
    <t>P002-051</t>
  </si>
  <si>
    <t>P002-052</t>
  </si>
  <si>
    <t>P002-053</t>
  </si>
  <si>
    <t>P002-054</t>
  </si>
  <si>
    <t>P002-055</t>
  </si>
  <si>
    <t>P002-056</t>
  </si>
  <si>
    <t>P002-057</t>
  </si>
  <si>
    <t>P002-058</t>
  </si>
  <si>
    <t>P002-059</t>
  </si>
  <si>
    <t>P002-060</t>
  </si>
  <si>
    <t>KPI</t>
  </si>
  <si>
    <t>Valeur</t>
  </si>
  <si>
    <t>Formule</t>
  </si>
  <si>
    <t>Avancement</t>
  </si>
  <si>
    <t>Moyenne avancement tâches</t>
  </si>
  <si>
    <t>Budget prévu</t>
  </si>
  <si>
    <t>Somme coûts prévus</t>
  </si>
  <si>
    <t>Temps prévu</t>
  </si>
  <si>
    <t>Somme heures prévues</t>
  </si>
  <si>
    <t>Temps passé</t>
  </si>
  <si>
    <t>Somme injectée depuis Suivi Temps</t>
  </si>
  <si>
    <t>Tâches en retard</t>
  </si>
  <si>
    <t>Fin estimée dépassée sans fin effective</t>
  </si>
  <si>
    <t>Gantt</t>
  </si>
  <si>
    <t>Réf.</t>
  </si>
  <si>
    <t>Niveau</t>
  </si>
  <si>
    <t>Parent</t>
  </si>
  <si>
    <t>Tâche</t>
  </si>
  <si>
    <t>Début</t>
  </si>
  <si>
    <t>Fin estimée</t>
  </si>
  <si>
    <t>Temps prévu (h)</t>
  </si>
  <si>
    <t>Coût prévu</t>
  </si>
  <si>
    <t>Ressources</t>
  </si>
  <si>
    <t>Temps passé (h)</t>
  </si>
  <si>
    <t>Fin effective</t>
  </si>
  <si>
    <t>Prédécesseurs</t>
  </si>
  <si>
    <t>Notes</t>
  </si>
  <si>
    <t>Cadrage</t>
  </si>
  <si>
    <t>Alice Martin; Karim Benali</t>
  </si>
  <si>
    <t>Collecte besoins</t>
  </si>
  <si>
    <t>Atelier métiers #1</t>
  </si>
  <si>
    <t>Réalisation</t>
  </si>
  <si>
    <t>Alice Martin; Léa Dubois</t>
  </si>
  <si>
    <t>Conception</t>
  </si>
  <si>
    <t>Développement lot 1</t>
  </si>
  <si>
    <t>Paramétrage écran A</t>
  </si>
  <si>
    <t>Déploiement</t>
  </si>
  <si>
    <t>_2</t>
  </si>
  <si>
    <t>__3</t>
  </si>
  <si>
    <t>___4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</si>
</sst>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libri"/>
    </font>
    <font>
      <b/>
      <sz val="16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0" xfId="0" applyFont="1" applyFill="1"/>
    <xf numFmtId="14" fontId="0" fillId="0" borderId="0" xfId="0" applyNumberFormat="1"/>
    <xf numFmtId="0" fontId="1" fillId="0" borderId="0" xfId="0" applyFont="1"/>
    <xf numFmtId="0" fontId="0" fillId="0" borderId="0" xfId="0"/>
    <xf numFmtId="0" fontId="3" fillId="0" borderId="0" xfId="0" applyFont="1"/>
  </cellXfs>
  <cellStyles count="1">
    <cellStyle name="Normal" xfId="0" builtinId="0"/>
  </cellStyles>
  <dxfs count="2">
    <dxf>
      <fill>
        <patternFill patternType="solid">
          <fgColor rgb="FF70AD47"/>
        </patternFill>
      </fill>
    </dxf>
    <dxf>
      <fill>
        <patternFill patternType="solid">
          <fgColor rgb="FF70AD4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5"/>
  <sheetViews>
    <sheetView workbookViewId="0">
      <selection activeCell="B16" sqref="B16"/>
    </sheetView>
  </sheetViews>
  <sheetFormatPr baseColWidth="10" defaultColWidth="9.140625" defaultRowHeight="15" x14ac:dyDescent="0.25"/>
  <cols>
    <col min="1" max="1" width="12" customWidth="1"/>
    <col min="2" max="2" width="24" customWidth="1"/>
    <col min="3" max="3" width="18" customWidth="1"/>
    <col min="4" max="5" width="14" customWidth="1"/>
    <col min="6" max="6" width="12" customWidth="1"/>
  </cols>
  <sheetData>
    <row r="1" spans="1:6" ht="21" x14ac:dyDescent="0.35">
      <c r="A1" s="3" t="s">
        <v>0</v>
      </c>
      <c r="B1" s="4"/>
      <c r="C1" s="4"/>
      <c r="D1" s="4"/>
      <c r="E1" s="4"/>
      <c r="F1" s="4"/>
    </row>
    <row r="3" spans="1:6" x14ac:dyDescent="0.2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 x14ac:dyDescent="0.25">
      <c r="A4" t="s">
        <v>7</v>
      </c>
      <c r="B4" t="s">
        <v>8</v>
      </c>
      <c r="C4" t="s">
        <v>9</v>
      </c>
      <c r="D4" t="s">
        <v>10</v>
      </c>
      <c r="E4" t="s">
        <v>11</v>
      </c>
      <c r="F4" t="s">
        <v>12</v>
      </c>
    </row>
    <row r="5" spans="1:6" x14ac:dyDescent="0.25">
      <c r="A5" t="s">
        <v>13</v>
      </c>
      <c r="B5" t="s">
        <v>14</v>
      </c>
      <c r="C5" t="s">
        <v>15</v>
      </c>
      <c r="D5" t="s">
        <v>16</v>
      </c>
      <c r="E5" t="s">
        <v>17</v>
      </c>
      <c r="F5" t="s">
        <v>12</v>
      </c>
    </row>
  </sheetData>
  <mergeCells count="1">
    <mergeCell ref="A1:F1"/>
  </mergeCells>
  <hyperlinks>
    <hyperlink ref="F4" location="'Projet_001'!A1" display="Ouvrir" xr:uid="{00000000-0004-0000-0000-000000000000}"/>
    <hyperlink ref="F5" location="'Projet_002'!A1" display="Ouvrir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"/>
  <sheetViews>
    <sheetView workbookViewId="0">
      <selection activeCell="C37" sqref="C37"/>
    </sheetView>
  </sheetViews>
  <sheetFormatPr baseColWidth="10" defaultColWidth="9.140625" defaultRowHeight="15" x14ac:dyDescent="0.25"/>
  <cols>
    <col min="1" max="1" width="24" customWidth="1"/>
    <col min="2" max="2" width="22" customWidth="1"/>
    <col min="3" max="3" width="14" customWidth="1"/>
    <col min="4" max="4" width="24" customWidth="1"/>
  </cols>
  <sheetData>
    <row r="1" spans="1:4" ht="21" x14ac:dyDescent="0.35">
      <c r="A1" s="3" t="s">
        <v>18</v>
      </c>
      <c r="B1" s="4"/>
      <c r="C1" s="4"/>
      <c r="D1" s="4"/>
    </row>
    <row r="3" spans="1:4" x14ac:dyDescent="0.25">
      <c r="A3" s="1" t="s">
        <v>2</v>
      </c>
      <c r="B3" s="1" t="s">
        <v>19</v>
      </c>
      <c r="C3" s="1" t="s">
        <v>20</v>
      </c>
      <c r="D3" s="1" t="s">
        <v>21</v>
      </c>
    </row>
    <row r="4" spans="1:4" x14ac:dyDescent="0.25">
      <c r="A4" t="s">
        <v>9</v>
      </c>
      <c r="B4" t="s">
        <v>3</v>
      </c>
      <c r="C4">
        <v>95</v>
      </c>
      <c r="D4" t="s">
        <v>22</v>
      </c>
    </row>
    <row r="5" spans="1:4" x14ac:dyDescent="0.25">
      <c r="A5" t="s">
        <v>15</v>
      </c>
      <c r="B5" t="s">
        <v>23</v>
      </c>
      <c r="C5">
        <v>75</v>
      </c>
      <c r="D5" t="s">
        <v>24</v>
      </c>
    </row>
    <row r="6" spans="1:4" x14ac:dyDescent="0.25">
      <c r="A6" t="s">
        <v>25</v>
      </c>
      <c r="B6" t="s">
        <v>26</v>
      </c>
      <c r="C6">
        <v>80</v>
      </c>
      <c r="D6" t="s">
        <v>27</v>
      </c>
    </row>
    <row r="7" spans="1:4" x14ac:dyDescent="0.25">
      <c r="A7" t="s">
        <v>28</v>
      </c>
      <c r="B7" t="s">
        <v>29</v>
      </c>
      <c r="C7">
        <v>70</v>
      </c>
      <c r="D7" t="s">
        <v>30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5"/>
  <sheetViews>
    <sheetView workbookViewId="0">
      <selection sqref="A1:E1"/>
    </sheetView>
  </sheetViews>
  <sheetFormatPr baseColWidth="10" defaultColWidth="9.140625" defaultRowHeight="15" x14ac:dyDescent="0.25"/>
  <cols>
    <col min="1" max="1" width="14" customWidth="1"/>
    <col min="2" max="2" width="24" customWidth="1"/>
    <col min="3" max="3" width="12" customWidth="1"/>
    <col min="4" max="4" width="18" customWidth="1"/>
    <col min="5" max="5" width="40" customWidth="1"/>
  </cols>
  <sheetData>
    <row r="1" spans="1:5" ht="21" x14ac:dyDescent="0.35">
      <c r="A1" s="3" t="s">
        <v>31</v>
      </c>
      <c r="B1" s="4"/>
      <c r="C1" s="4"/>
      <c r="D1" s="4"/>
      <c r="E1" s="4"/>
    </row>
    <row r="3" spans="1:5" x14ac:dyDescent="0.25">
      <c r="A3" s="1" t="s">
        <v>32</v>
      </c>
      <c r="B3" s="1" t="s">
        <v>33</v>
      </c>
      <c r="C3" s="1" t="s">
        <v>34</v>
      </c>
      <c r="D3" s="1" t="s">
        <v>35</v>
      </c>
      <c r="E3" s="1" t="s">
        <v>36</v>
      </c>
    </row>
    <row r="4" spans="1:5" x14ac:dyDescent="0.25">
      <c r="A4" t="s">
        <v>37</v>
      </c>
      <c r="B4" t="s">
        <v>9</v>
      </c>
      <c r="C4" s="2">
        <v>46205</v>
      </c>
      <c r="D4">
        <v>3</v>
      </c>
      <c r="E4" t="s">
        <v>38</v>
      </c>
    </row>
    <row r="5" spans="1:5" x14ac:dyDescent="0.25">
      <c r="A5" t="s">
        <v>39</v>
      </c>
      <c r="B5" t="s">
        <v>15</v>
      </c>
      <c r="C5" s="2">
        <v>46209</v>
      </c>
      <c r="D5">
        <v>5</v>
      </c>
      <c r="E5" t="s">
        <v>40</v>
      </c>
    </row>
  </sheetData>
  <mergeCells count="1">
    <mergeCell ref="A1:E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Listes!$E$2:$E$200</xm:f>
          </x14:formula1>
          <xm:sqref>A4:A500</xm:sqref>
        </x14:dataValidation>
        <x14:dataValidation type="list" allowBlank="1" showErrorMessage="1" xr:uid="{00000000-0002-0000-0200-000001000000}">
          <x14:formula1>
            <xm:f>Utilisateurs!$A$2:$A$100</xm:f>
          </x14:formula1>
          <xm:sqref>B4:B500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21"/>
  <sheetViews>
    <sheetView tabSelected="1" workbookViewId="0">
      <selection activeCell="C11" sqref="C11"/>
    </sheetView>
  </sheetViews>
  <sheetFormatPr baseColWidth="10" defaultColWidth="9.140625" defaultRowHeight="15" x14ac:dyDescent="0.25"/>
  <cols>
    <col min="1" max="1" width="10" customWidth="1"/>
    <col min="2" max="2" width="16" customWidth="1"/>
    <col min="3" max="3" width="90" customWidth="1"/>
    <col min="5" max="5" width="14" customWidth="1"/>
  </cols>
  <sheetData>
    <row r="1" spans="1:5" x14ac:dyDescent="0.25">
      <c r="A1" s="1" t="s">
        <v>41</v>
      </c>
      <c r="B1" s="1" t="s">
        <v>42</v>
      </c>
      <c r="C1" s="1" t="s">
        <v>43</v>
      </c>
      <c r="E1" s="1" t="s">
        <v>44</v>
      </c>
    </row>
    <row r="2" spans="1:5" x14ac:dyDescent="0.25">
      <c r="A2">
        <v>1</v>
      </c>
      <c r="B2" t="s">
        <v>16</v>
      </c>
      <c r="C2" t="s">
        <v>45</v>
      </c>
      <c r="E2" t="s">
        <v>46</v>
      </c>
    </row>
    <row r="3" spans="1:5" x14ac:dyDescent="0.25">
      <c r="A3" s="5" t="s">
        <v>206</v>
      </c>
      <c r="B3" t="s">
        <v>10</v>
      </c>
      <c r="C3" t="s">
        <v>47</v>
      </c>
      <c r="E3" t="s">
        <v>37</v>
      </c>
    </row>
    <row r="4" spans="1:5" x14ac:dyDescent="0.25">
      <c r="A4" s="5" t="s">
        <v>207</v>
      </c>
      <c r="B4" t="s">
        <v>48</v>
      </c>
      <c r="C4" t="s">
        <v>49</v>
      </c>
      <c r="E4" t="s">
        <v>39</v>
      </c>
    </row>
    <row r="5" spans="1:5" x14ac:dyDescent="0.25">
      <c r="A5" s="5" t="s">
        <v>208</v>
      </c>
      <c r="B5" t="s">
        <v>50</v>
      </c>
      <c r="C5" t="s">
        <v>51</v>
      </c>
      <c r="E5" t="s">
        <v>52</v>
      </c>
    </row>
    <row r="6" spans="1:5" x14ac:dyDescent="0.25">
      <c r="E6" t="s">
        <v>53</v>
      </c>
    </row>
    <row r="7" spans="1:5" x14ac:dyDescent="0.25">
      <c r="E7" t="s">
        <v>54</v>
      </c>
    </row>
    <row r="8" spans="1:5" x14ac:dyDescent="0.25">
      <c r="E8" t="s">
        <v>55</v>
      </c>
    </row>
    <row r="9" spans="1:5" x14ac:dyDescent="0.25">
      <c r="E9" t="s">
        <v>56</v>
      </c>
    </row>
    <row r="10" spans="1:5" x14ac:dyDescent="0.25">
      <c r="E10" t="s">
        <v>57</v>
      </c>
    </row>
    <row r="11" spans="1:5" x14ac:dyDescent="0.25">
      <c r="E11" t="s">
        <v>58</v>
      </c>
    </row>
    <row r="12" spans="1:5" x14ac:dyDescent="0.25">
      <c r="E12" t="s">
        <v>59</v>
      </c>
    </row>
    <row r="13" spans="1:5" x14ac:dyDescent="0.25">
      <c r="E13" t="s">
        <v>60</v>
      </c>
    </row>
    <row r="14" spans="1:5" x14ac:dyDescent="0.25">
      <c r="E14" t="s">
        <v>61</v>
      </c>
    </row>
    <row r="15" spans="1:5" x14ac:dyDescent="0.25">
      <c r="E15" t="s">
        <v>62</v>
      </c>
    </row>
    <row r="16" spans="1:5" x14ac:dyDescent="0.25">
      <c r="E16" t="s">
        <v>63</v>
      </c>
    </row>
    <row r="17" spans="5:5" x14ac:dyDescent="0.25">
      <c r="E17" t="s">
        <v>64</v>
      </c>
    </row>
    <row r="18" spans="5:5" x14ac:dyDescent="0.25">
      <c r="E18" t="s">
        <v>65</v>
      </c>
    </row>
    <row r="19" spans="5:5" x14ac:dyDescent="0.25">
      <c r="E19" t="s">
        <v>66</v>
      </c>
    </row>
    <row r="20" spans="5:5" x14ac:dyDescent="0.25">
      <c r="E20" t="s">
        <v>67</v>
      </c>
    </row>
    <row r="21" spans="5:5" x14ac:dyDescent="0.25">
      <c r="E21" t="s">
        <v>68</v>
      </c>
    </row>
    <row r="22" spans="5:5" x14ac:dyDescent="0.25">
      <c r="E22" t="s">
        <v>69</v>
      </c>
    </row>
    <row r="23" spans="5:5" x14ac:dyDescent="0.25">
      <c r="E23" t="s">
        <v>70</v>
      </c>
    </row>
    <row r="24" spans="5:5" x14ac:dyDescent="0.25">
      <c r="E24" t="s">
        <v>71</v>
      </c>
    </row>
    <row r="25" spans="5:5" x14ac:dyDescent="0.25">
      <c r="E25" t="s">
        <v>72</v>
      </c>
    </row>
    <row r="26" spans="5:5" x14ac:dyDescent="0.25">
      <c r="E26" t="s">
        <v>73</v>
      </c>
    </row>
    <row r="27" spans="5:5" x14ac:dyDescent="0.25">
      <c r="E27" t="s">
        <v>74</v>
      </c>
    </row>
    <row r="28" spans="5:5" x14ac:dyDescent="0.25">
      <c r="E28" t="s">
        <v>75</v>
      </c>
    </row>
    <row r="29" spans="5:5" x14ac:dyDescent="0.25">
      <c r="E29" t="s">
        <v>76</v>
      </c>
    </row>
    <row r="30" spans="5:5" x14ac:dyDescent="0.25">
      <c r="E30" t="s">
        <v>77</v>
      </c>
    </row>
    <row r="31" spans="5:5" x14ac:dyDescent="0.25">
      <c r="E31" t="s">
        <v>78</v>
      </c>
    </row>
    <row r="32" spans="5:5" x14ac:dyDescent="0.25">
      <c r="E32" t="s">
        <v>79</v>
      </c>
    </row>
    <row r="33" spans="5:5" x14ac:dyDescent="0.25">
      <c r="E33" t="s">
        <v>80</v>
      </c>
    </row>
    <row r="34" spans="5:5" x14ac:dyDescent="0.25">
      <c r="E34" t="s">
        <v>81</v>
      </c>
    </row>
    <row r="35" spans="5:5" x14ac:dyDescent="0.25">
      <c r="E35" t="s">
        <v>82</v>
      </c>
    </row>
    <row r="36" spans="5:5" x14ac:dyDescent="0.25">
      <c r="E36" t="s">
        <v>83</v>
      </c>
    </row>
    <row r="37" spans="5:5" x14ac:dyDescent="0.25">
      <c r="E37" t="s">
        <v>84</v>
      </c>
    </row>
    <row r="38" spans="5:5" x14ac:dyDescent="0.25">
      <c r="E38" t="s">
        <v>85</v>
      </c>
    </row>
    <row r="39" spans="5:5" x14ac:dyDescent="0.25">
      <c r="E39" t="s">
        <v>86</v>
      </c>
    </row>
    <row r="40" spans="5:5" x14ac:dyDescent="0.25">
      <c r="E40" t="s">
        <v>87</v>
      </c>
    </row>
    <row r="41" spans="5:5" x14ac:dyDescent="0.25">
      <c r="E41" t="s">
        <v>88</v>
      </c>
    </row>
    <row r="42" spans="5:5" x14ac:dyDescent="0.25">
      <c r="E42" t="s">
        <v>89</v>
      </c>
    </row>
    <row r="43" spans="5:5" x14ac:dyDescent="0.25">
      <c r="E43" t="s">
        <v>90</v>
      </c>
    </row>
    <row r="44" spans="5:5" x14ac:dyDescent="0.25">
      <c r="E44" t="s">
        <v>91</v>
      </c>
    </row>
    <row r="45" spans="5:5" x14ac:dyDescent="0.25">
      <c r="E45" t="s">
        <v>92</v>
      </c>
    </row>
    <row r="46" spans="5:5" x14ac:dyDescent="0.25">
      <c r="E46" t="s">
        <v>93</v>
      </c>
    </row>
    <row r="47" spans="5:5" x14ac:dyDescent="0.25">
      <c r="E47" t="s">
        <v>94</v>
      </c>
    </row>
    <row r="48" spans="5:5" x14ac:dyDescent="0.25">
      <c r="E48" t="s">
        <v>95</v>
      </c>
    </row>
    <row r="49" spans="5:5" x14ac:dyDescent="0.25">
      <c r="E49" t="s">
        <v>96</v>
      </c>
    </row>
    <row r="50" spans="5:5" x14ac:dyDescent="0.25">
      <c r="E50" t="s">
        <v>97</v>
      </c>
    </row>
    <row r="51" spans="5:5" x14ac:dyDescent="0.25">
      <c r="E51" t="s">
        <v>98</v>
      </c>
    </row>
    <row r="52" spans="5:5" x14ac:dyDescent="0.25">
      <c r="E52" t="s">
        <v>99</v>
      </c>
    </row>
    <row r="53" spans="5:5" x14ac:dyDescent="0.25">
      <c r="E53" t="s">
        <v>100</v>
      </c>
    </row>
    <row r="54" spans="5:5" x14ac:dyDescent="0.25">
      <c r="E54" t="s">
        <v>101</v>
      </c>
    </row>
    <row r="55" spans="5:5" x14ac:dyDescent="0.25">
      <c r="E55" t="s">
        <v>102</v>
      </c>
    </row>
    <row r="56" spans="5:5" x14ac:dyDescent="0.25">
      <c r="E56" t="s">
        <v>103</v>
      </c>
    </row>
    <row r="57" spans="5:5" x14ac:dyDescent="0.25">
      <c r="E57" t="s">
        <v>104</v>
      </c>
    </row>
    <row r="58" spans="5:5" x14ac:dyDescent="0.25">
      <c r="E58" t="s">
        <v>105</v>
      </c>
    </row>
    <row r="59" spans="5:5" x14ac:dyDescent="0.25">
      <c r="E59" t="s">
        <v>106</v>
      </c>
    </row>
    <row r="60" spans="5:5" x14ac:dyDescent="0.25">
      <c r="E60" t="s">
        <v>107</v>
      </c>
    </row>
    <row r="61" spans="5:5" x14ac:dyDescent="0.25">
      <c r="E61" t="s">
        <v>108</v>
      </c>
    </row>
    <row r="62" spans="5:5" x14ac:dyDescent="0.25">
      <c r="E62" t="s">
        <v>109</v>
      </c>
    </row>
    <row r="63" spans="5:5" x14ac:dyDescent="0.25">
      <c r="E63" t="s">
        <v>110</v>
      </c>
    </row>
    <row r="64" spans="5:5" x14ac:dyDescent="0.25">
      <c r="E64" t="s">
        <v>111</v>
      </c>
    </row>
    <row r="65" spans="5:5" x14ac:dyDescent="0.25">
      <c r="E65" t="s">
        <v>112</v>
      </c>
    </row>
    <row r="66" spans="5:5" x14ac:dyDescent="0.25">
      <c r="E66" t="s">
        <v>113</v>
      </c>
    </row>
    <row r="67" spans="5:5" x14ac:dyDescent="0.25">
      <c r="E67" t="s">
        <v>114</v>
      </c>
    </row>
    <row r="68" spans="5:5" x14ac:dyDescent="0.25">
      <c r="E68" t="s">
        <v>115</v>
      </c>
    </row>
    <row r="69" spans="5:5" x14ac:dyDescent="0.25">
      <c r="E69" t="s">
        <v>116</v>
      </c>
    </row>
    <row r="70" spans="5:5" x14ac:dyDescent="0.25">
      <c r="E70" t="s">
        <v>117</v>
      </c>
    </row>
    <row r="71" spans="5:5" x14ac:dyDescent="0.25">
      <c r="E71" t="s">
        <v>118</v>
      </c>
    </row>
    <row r="72" spans="5:5" x14ac:dyDescent="0.25">
      <c r="E72" t="s">
        <v>119</v>
      </c>
    </row>
    <row r="73" spans="5:5" x14ac:dyDescent="0.25">
      <c r="E73" t="s">
        <v>120</v>
      </c>
    </row>
    <row r="74" spans="5:5" x14ac:dyDescent="0.25">
      <c r="E74" t="s">
        <v>121</v>
      </c>
    </row>
    <row r="75" spans="5:5" x14ac:dyDescent="0.25">
      <c r="E75" t="s">
        <v>122</v>
      </c>
    </row>
    <row r="76" spans="5:5" x14ac:dyDescent="0.25">
      <c r="E76" t="s">
        <v>123</v>
      </c>
    </row>
    <row r="77" spans="5:5" x14ac:dyDescent="0.25">
      <c r="E77" t="s">
        <v>124</v>
      </c>
    </row>
    <row r="78" spans="5:5" x14ac:dyDescent="0.25">
      <c r="E78" t="s">
        <v>125</v>
      </c>
    </row>
    <row r="79" spans="5:5" x14ac:dyDescent="0.25">
      <c r="E79" t="s">
        <v>126</v>
      </c>
    </row>
    <row r="80" spans="5:5" x14ac:dyDescent="0.25">
      <c r="E80" t="s">
        <v>127</v>
      </c>
    </row>
    <row r="81" spans="5:5" x14ac:dyDescent="0.25">
      <c r="E81" t="s">
        <v>128</v>
      </c>
    </row>
    <row r="82" spans="5:5" x14ac:dyDescent="0.25">
      <c r="E82" t="s">
        <v>129</v>
      </c>
    </row>
    <row r="83" spans="5:5" x14ac:dyDescent="0.25">
      <c r="E83" t="s">
        <v>130</v>
      </c>
    </row>
    <row r="84" spans="5:5" x14ac:dyDescent="0.25">
      <c r="E84" t="s">
        <v>131</v>
      </c>
    </row>
    <row r="85" spans="5:5" x14ac:dyDescent="0.25">
      <c r="E85" t="s">
        <v>132</v>
      </c>
    </row>
    <row r="86" spans="5:5" x14ac:dyDescent="0.25">
      <c r="E86" t="s">
        <v>133</v>
      </c>
    </row>
    <row r="87" spans="5:5" x14ac:dyDescent="0.25">
      <c r="E87" t="s">
        <v>134</v>
      </c>
    </row>
    <row r="88" spans="5:5" x14ac:dyDescent="0.25">
      <c r="E88" t="s">
        <v>135</v>
      </c>
    </row>
    <row r="89" spans="5:5" x14ac:dyDescent="0.25">
      <c r="E89" t="s">
        <v>136</v>
      </c>
    </row>
    <row r="90" spans="5:5" x14ac:dyDescent="0.25">
      <c r="E90" t="s">
        <v>137</v>
      </c>
    </row>
    <row r="91" spans="5:5" x14ac:dyDescent="0.25">
      <c r="E91" t="s">
        <v>138</v>
      </c>
    </row>
    <row r="92" spans="5:5" x14ac:dyDescent="0.25">
      <c r="E92" t="s">
        <v>139</v>
      </c>
    </row>
    <row r="93" spans="5:5" x14ac:dyDescent="0.25">
      <c r="E93" t="s">
        <v>140</v>
      </c>
    </row>
    <row r="94" spans="5:5" x14ac:dyDescent="0.25">
      <c r="E94" t="s">
        <v>141</v>
      </c>
    </row>
    <row r="95" spans="5:5" x14ac:dyDescent="0.25">
      <c r="E95" t="s">
        <v>142</v>
      </c>
    </row>
    <row r="96" spans="5:5" x14ac:dyDescent="0.25">
      <c r="E96" t="s">
        <v>143</v>
      </c>
    </row>
    <row r="97" spans="5:5" x14ac:dyDescent="0.25">
      <c r="E97" t="s">
        <v>144</v>
      </c>
    </row>
    <row r="98" spans="5:5" x14ac:dyDescent="0.25">
      <c r="E98" t="s">
        <v>145</v>
      </c>
    </row>
    <row r="99" spans="5:5" x14ac:dyDescent="0.25">
      <c r="E99" t="s">
        <v>146</v>
      </c>
    </row>
    <row r="100" spans="5:5" x14ac:dyDescent="0.25">
      <c r="E100" t="s">
        <v>147</v>
      </c>
    </row>
    <row r="101" spans="5:5" x14ac:dyDescent="0.25">
      <c r="E101" t="s">
        <v>148</v>
      </c>
    </row>
    <row r="102" spans="5:5" x14ac:dyDescent="0.25">
      <c r="E102" t="s">
        <v>149</v>
      </c>
    </row>
    <row r="103" spans="5:5" x14ac:dyDescent="0.25">
      <c r="E103" t="s">
        <v>150</v>
      </c>
    </row>
    <row r="104" spans="5:5" x14ac:dyDescent="0.25">
      <c r="E104" t="s">
        <v>151</v>
      </c>
    </row>
    <row r="105" spans="5:5" x14ac:dyDescent="0.25">
      <c r="E105" t="s">
        <v>152</v>
      </c>
    </row>
    <row r="106" spans="5:5" x14ac:dyDescent="0.25">
      <c r="E106" t="s">
        <v>153</v>
      </c>
    </row>
    <row r="107" spans="5:5" x14ac:dyDescent="0.25">
      <c r="E107" t="s">
        <v>154</v>
      </c>
    </row>
    <row r="108" spans="5:5" x14ac:dyDescent="0.25">
      <c r="E108" t="s">
        <v>155</v>
      </c>
    </row>
    <row r="109" spans="5:5" x14ac:dyDescent="0.25">
      <c r="E109" t="s">
        <v>156</v>
      </c>
    </row>
    <row r="110" spans="5:5" x14ac:dyDescent="0.25">
      <c r="E110" t="s">
        <v>157</v>
      </c>
    </row>
    <row r="111" spans="5:5" x14ac:dyDescent="0.25">
      <c r="E111" t="s">
        <v>158</v>
      </c>
    </row>
    <row r="112" spans="5:5" x14ac:dyDescent="0.25">
      <c r="E112" t="s">
        <v>159</v>
      </c>
    </row>
    <row r="113" spans="5:5" x14ac:dyDescent="0.25">
      <c r="E113" t="s">
        <v>160</v>
      </c>
    </row>
    <row r="114" spans="5:5" x14ac:dyDescent="0.25">
      <c r="E114" t="s">
        <v>161</v>
      </c>
    </row>
    <row r="115" spans="5:5" x14ac:dyDescent="0.25">
      <c r="E115" t="s">
        <v>162</v>
      </c>
    </row>
    <row r="116" spans="5:5" x14ac:dyDescent="0.25">
      <c r="E116" t="s">
        <v>163</v>
      </c>
    </row>
    <row r="117" spans="5:5" x14ac:dyDescent="0.25">
      <c r="E117" t="s">
        <v>164</v>
      </c>
    </row>
    <row r="118" spans="5:5" x14ac:dyDescent="0.25">
      <c r="E118" t="s">
        <v>165</v>
      </c>
    </row>
    <row r="119" spans="5:5" x14ac:dyDescent="0.25">
      <c r="E119" t="s">
        <v>166</v>
      </c>
    </row>
    <row r="120" spans="5:5" x14ac:dyDescent="0.25">
      <c r="E120" t="s">
        <v>167</v>
      </c>
    </row>
    <row r="121" spans="5:5" x14ac:dyDescent="0.25">
      <c r="E121" t="s">
        <v>168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W61"/>
  <sheetViews>
    <sheetView workbookViewId="0">
      <pane ySplit="10" topLeftCell="A11" activePane="bottomLeft" state="frozen"/>
      <selection pane="bottomLeft" activeCell="B12" sqref="B12"/>
    </sheetView>
  </sheetViews>
  <sheetFormatPr baseColWidth="10" defaultColWidth="9.140625" defaultRowHeight="15" x14ac:dyDescent="0.25"/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75" width="3" customWidth="1"/>
  </cols>
  <sheetData>
    <row r="1" spans="1:75" ht="21" x14ac:dyDescent="0.35">
      <c r="A1" s="3" t="s">
        <v>11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75" x14ac:dyDescent="0.25">
      <c r="A3" s="1" t="s">
        <v>169</v>
      </c>
      <c r="B3" s="1" t="s">
        <v>170</v>
      </c>
      <c r="C3" s="1" t="s">
        <v>171</v>
      </c>
    </row>
    <row r="4" spans="1:75" x14ac:dyDescent="0.25">
      <c r="A4" t="s">
        <v>172</v>
      </c>
      <c r="B4">
        <f>IFERROR(AVERAGE($L$11:$L$61),0)</f>
        <v>0.41666666666666669</v>
      </c>
      <c r="C4" t="s">
        <v>173</v>
      </c>
    </row>
    <row r="5" spans="1:75" x14ac:dyDescent="0.25">
      <c r="A5" t="s">
        <v>174</v>
      </c>
      <c r="B5">
        <f>SUM($H$11:$H$61)</f>
        <v>32000</v>
      </c>
      <c r="C5" t="s">
        <v>175</v>
      </c>
    </row>
    <row r="6" spans="1:75" x14ac:dyDescent="0.25">
      <c r="A6" t="s">
        <v>176</v>
      </c>
      <c r="B6">
        <f>SUM($G$11:$G$61)</f>
        <v>224</v>
      </c>
      <c r="C6" t="s">
        <v>177</v>
      </c>
    </row>
    <row r="7" spans="1:75" x14ac:dyDescent="0.25">
      <c r="A7" t="s">
        <v>178</v>
      </c>
      <c r="B7">
        <f>SUM($J$11:$J$61)</f>
        <v>8</v>
      </c>
      <c r="C7" t="s">
        <v>179</v>
      </c>
    </row>
    <row r="8" spans="1:75" x14ac:dyDescent="0.25">
      <c r="A8" t="s">
        <v>180</v>
      </c>
      <c r="B8">
        <f ca="1">COUNTIFS($F$11:$F$61,"&lt;"&amp;TODAY(),$K$11:$K$61,"")</f>
        <v>0</v>
      </c>
      <c r="C8" t="s">
        <v>181</v>
      </c>
    </row>
    <row r="9" spans="1:75" x14ac:dyDescent="0.25">
      <c r="O9" s="1" t="s">
        <v>182</v>
      </c>
      <c r="P9" s="2">
        <v>46204</v>
      </c>
      <c r="Q9" s="2">
        <v>46205</v>
      </c>
      <c r="R9" s="2">
        <v>46206</v>
      </c>
      <c r="S9" s="2">
        <v>46207</v>
      </c>
      <c r="T9" s="2">
        <v>46208</v>
      </c>
      <c r="U9" s="2">
        <v>46209</v>
      </c>
      <c r="V9" s="2">
        <v>46210</v>
      </c>
      <c r="W9" s="2">
        <v>46211</v>
      </c>
      <c r="X9" s="2">
        <v>46212</v>
      </c>
      <c r="Y9" s="2">
        <v>46213</v>
      </c>
      <c r="Z9" s="2">
        <v>46214</v>
      </c>
      <c r="AA9" s="2">
        <v>46215</v>
      </c>
      <c r="AB9" s="2">
        <v>46216</v>
      </c>
      <c r="AC9" s="2">
        <v>46217</v>
      </c>
      <c r="AD9" s="2">
        <v>46218</v>
      </c>
      <c r="AE9" s="2">
        <v>46219</v>
      </c>
      <c r="AF9" s="2">
        <v>46220</v>
      </c>
      <c r="AG9" s="2">
        <v>46221</v>
      </c>
      <c r="AH9" s="2">
        <v>46222</v>
      </c>
      <c r="AI9" s="2">
        <v>46223</v>
      </c>
      <c r="AJ9" s="2">
        <v>46224</v>
      </c>
      <c r="AK9" s="2">
        <v>46225</v>
      </c>
      <c r="AL9" s="2">
        <v>46226</v>
      </c>
      <c r="AM9" s="2">
        <v>46227</v>
      </c>
      <c r="AN9" s="2">
        <v>46228</v>
      </c>
      <c r="AO9" s="2">
        <v>46229</v>
      </c>
      <c r="AP9" s="2">
        <v>46230</v>
      </c>
      <c r="AQ9" s="2">
        <v>46231</v>
      </c>
      <c r="AR9" s="2">
        <v>46232</v>
      </c>
      <c r="AS9" s="2">
        <v>46233</v>
      </c>
      <c r="AT9" s="2">
        <v>46234</v>
      </c>
      <c r="AU9" s="2">
        <v>46235</v>
      </c>
      <c r="AV9" s="2">
        <v>46236</v>
      </c>
      <c r="AW9" s="2">
        <v>46237</v>
      </c>
      <c r="AX9" s="2">
        <v>46238</v>
      </c>
      <c r="AY9" s="2">
        <v>46239</v>
      </c>
      <c r="AZ9" s="2">
        <v>46240</v>
      </c>
      <c r="BA9" s="2">
        <v>46241</v>
      </c>
      <c r="BB9" s="2">
        <v>46242</v>
      </c>
      <c r="BC9" s="2">
        <v>46243</v>
      </c>
      <c r="BD9" s="2">
        <v>46244</v>
      </c>
      <c r="BE9" s="2">
        <v>46245</v>
      </c>
      <c r="BF9" s="2">
        <v>46246</v>
      </c>
      <c r="BG9" s="2">
        <v>46247</v>
      </c>
      <c r="BH9" s="2">
        <v>46248</v>
      </c>
      <c r="BI9" s="2">
        <v>46249</v>
      </c>
      <c r="BJ9" s="2">
        <v>46250</v>
      </c>
      <c r="BK9" s="2">
        <v>46251</v>
      </c>
      <c r="BL9" s="2">
        <v>46252</v>
      </c>
      <c r="BM9" s="2">
        <v>46253</v>
      </c>
      <c r="BN9" s="2">
        <v>46254</v>
      </c>
      <c r="BO9" s="2">
        <v>46255</v>
      </c>
      <c r="BP9" s="2">
        <v>46256</v>
      </c>
      <c r="BQ9" s="2">
        <v>46257</v>
      </c>
      <c r="BR9" s="2">
        <v>46258</v>
      </c>
      <c r="BS9" s="2">
        <v>46259</v>
      </c>
      <c r="BT9" s="2">
        <v>46260</v>
      </c>
      <c r="BU9" s="2">
        <v>46261</v>
      </c>
      <c r="BV9" s="2">
        <v>46262</v>
      </c>
      <c r="BW9" s="2">
        <v>46263</v>
      </c>
    </row>
    <row r="10" spans="1:75" x14ac:dyDescent="0.25">
      <c r="A10" s="1" t="s">
        <v>183</v>
      </c>
      <c r="B10" s="1" t="s">
        <v>184</v>
      </c>
      <c r="C10" s="1" t="s">
        <v>185</v>
      </c>
      <c r="D10" s="1" t="s">
        <v>186</v>
      </c>
      <c r="E10" s="1" t="s">
        <v>187</v>
      </c>
      <c r="F10" s="1" t="s">
        <v>188</v>
      </c>
      <c r="G10" s="1" t="s">
        <v>189</v>
      </c>
      <c r="H10" s="1" t="s">
        <v>190</v>
      </c>
      <c r="I10" s="1" t="s">
        <v>191</v>
      </c>
      <c r="J10" s="1" t="s">
        <v>192</v>
      </c>
      <c r="K10" s="1" t="s">
        <v>193</v>
      </c>
      <c r="L10" s="1" t="s">
        <v>172</v>
      </c>
      <c r="M10" s="1" t="s">
        <v>194</v>
      </c>
      <c r="N10" s="1" t="s">
        <v>195</v>
      </c>
    </row>
    <row r="11" spans="1:75" x14ac:dyDescent="0.25">
      <c r="A11" t="s">
        <v>46</v>
      </c>
      <c r="B11">
        <v>1</v>
      </c>
      <c r="D11" t="s">
        <v>196</v>
      </c>
      <c r="E11" s="2">
        <v>46204</v>
      </c>
      <c r="F11" s="2">
        <v>46214</v>
      </c>
      <c r="G11">
        <v>24</v>
      </c>
      <c r="H11">
        <v>3000</v>
      </c>
      <c r="I11" t="s">
        <v>197</v>
      </c>
      <c r="J11">
        <f>SUMIFS('Suivi Temps'!$D:$D,'Suivi Temps'!$A:$A,"P001-001")</f>
        <v>0</v>
      </c>
      <c r="L11">
        <v>0.7</v>
      </c>
      <c r="P11" t="str">
        <f t="shared" ref="P11:Y20" si="0">IF(AND($E11&lt;&gt;"",$F11&lt;&gt;"",P$9&gt;=$E11,P$9&lt;=$F11),"■","")</f>
        <v>■</v>
      </c>
      <c r="Q11" t="str">
        <f t="shared" si="0"/>
        <v>■</v>
      </c>
      <c r="R11" t="str">
        <f t="shared" si="0"/>
        <v>■</v>
      </c>
      <c r="S11" t="str">
        <f t="shared" si="0"/>
        <v>■</v>
      </c>
      <c r="T11" t="str">
        <f t="shared" si="0"/>
        <v>■</v>
      </c>
      <c r="U11" t="str">
        <f t="shared" si="0"/>
        <v>■</v>
      </c>
      <c r="V11" t="str">
        <f t="shared" si="0"/>
        <v>■</v>
      </c>
      <c r="W11" t="str">
        <f t="shared" si="0"/>
        <v>■</v>
      </c>
      <c r="X11" t="str">
        <f t="shared" si="0"/>
        <v>■</v>
      </c>
      <c r="Y11" t="str">
        <f t="shared" si="0"/>
        <v>■</v>
      </c>
      <c r="Z11" t="str">
        <f t="shared" ref="Z11:AI20" si="1">IF(AND($E11&lt;&gt;"",$F11&lt;&gt;"",Z$9&gt;=$E11,Z$9&lt;=$F11),"■","")</f>
        <v>■</v>
      </c>
      <c r="AA11" t="str">
        <f t="shared" si="1"/>
        <v/>
      </c>
      <c r="AB11" t="str">
        <f t="shared" si="1"/>
        <v/>
      </c>
      <c r="AC11" t="str">
        <f t="shared" si="1"/>
        <v/>
      </c>
      <c r="AD11" t="str">
        <f t="shared" si="1"/>
        <v/>
      </c>
      <c r="AE11" t="str">
        <f t="shared" si="1"/>
        <v/>
      </c>
      <c r="AF11" t="str">
        <f t="shared" si="1"/>
        <v/>
      </c>
      <c r="AG11" t="str">
        <f t="shared" si="1"/>
        <v/>
      </c>
      <c r="AH11" t="str">
        <f t="shared" si="1"/>
        <v/>
      </c>
      <c r="AI11" t="str">
        <f t="shared" si="1"/>
        <v/>
      </c>
      <c r="AJ11" t="str">
        <f t="shared" ref="AJ11:AS20" si="2">IF(AND($E11&lt;&gt;"",$F11&lt;&gt;"",AJ$9&gt;=$E11,AJ$9&lt;=$F11),"■","")</f>
        <v/>
      </c>
      <c r="AK11" t="str">
        <f t="shared" si="2"/>
        <v/>
      </c>
      <c r="AL11" t="str">
        <f t="shared" si="2"/>
        <v/>
      </c>
      <c r="AM11" t="str">
        <f t="shared" si="2"/>
        <v/>
      </c>
      <c r="AN11" t="str">
        <f t="shared" si="2"/>
        <v/>
      </c>
      <c r="AO11" t="str">
        <f t="shared" si="2"/>
        <v/>
      </c>
      <c r="AP11" t="str">
        <f t="shared" si="2"/>
        <v/>
      </c>
      <c r="AQ11" t="str">
        <f t="shared" si="2"/>
        <v/>
      </c>
      <c r="AR11" t="str">
        <f t="shared" si="2"/>
        <v/>
      </c>
      <c r="AS11" t="str">
        <f t="shared" si="2"/>
        <v/>
      </c>
      <c r="AT11" t="str">
        <f t="shared" ref="AT11:BC20" si="3">IF(AND($E11&lt;&gt;"",$F11&lt;&gt;"",AT$9&gt;=$E11,AT$9&lt;=$F11),"■","")</f>
        <v/>
      </c>
      <c r="AU11" t="str">
        <f t="shared" si="3"/>
        <v/>
      </c>
      <c r="AV11" t="str">
        <f t="shared" si="3"/>
        <v/>
      </c>
      <c r="AW11" t="str">
        <f t="shared" si="3"/>
        <v/>
      </c>
      <c r="AX11" t="str">
        <f t="shared" si="3"/>
        <v/>
      </c>
      <c r="AY11" t="str">
        <f t="shared" si="3"/>
        <v/>
      </c>
      <c r="AZ11" t="str">
        <f t="shared" si="3"/>
        <v/>
      </c>
      <c r="BA11" t="str">
        <f t="shared" si="3"/>
        <v/>
      </c>
      <c r="BB11" t="str">
        <f t="shared" si="3"/>
        <v/>
      </c>
      <c r="BC11" t="str">
        <f t="shared" si="3"/>
        <v/>
      </c>
      <c r="BD11" t="str">
        <f t="shared" ref="BD11:BM20" si="4">IF(AND($E11&lt;&gt;"",$F11&lt;&gt;"",BD$9&gt;=$E11,BD$9&lt;=$F11),"■","")</f>
        <v/>
      </c>
      <c r="BE11" t="str">
        <f t="shared" si="4"/>
        <v/>
      </c>
      <c r="BF11" t="str">
        <f t="shared" si="4"/>
        <v/>
      </c>
      <c r="BG11" t="str">
        <f t="shared" si="4"/>
        <v/>
      </c>
      <c r="BH11" t="str">
        <f t="shared" si="4"/>
        <v/>
      </c>
      <c r="BI11" t="str">
        <f t="shared" si="4"/>
        <v/>
      </c>
      <c r="BJ11" t="str">
        <f t="shared" si="4"/>
        <v/>
      </c>
      <c r="BK11" t="str">
        <f t="shared" si="4"/>
        <v/>
      </c>
      <c r="BL11" t="str">
        <f t="shared" si="4"/>
        <v/>
      </c>
      <c r="BM11" t="str">
        <f t="shared" si="4"/>
        <v/>
      </c>
      <c r="BN11" t="str">
        <f t="shared" ref="BN11:BW20" si="5">IF(AND($E11&lt;&gt;"",$F11&lt;&gt;"",BN$9&gt;=$E11,BN$9&lt;=$F11),"■","")</f>
        <v/>
      </c>
      <c r="BO11" t="str">
        <f t="shared" si="5"/>
        <v/>
      </c>
      <c r="BP11" t="str">
        <f t="shared" si="5"/>
        <v/>
      </c>
      <c r="BQ11" t="str">
        <f t="shared" si="5"/>
        <v/>
      </c>
      <c r="BR11" t="str">
        <f t="shared" si="5"/>
        <v/>
      </c>
      <c r="BS11" t="str">
        <f t="shared" si="5"/>
        <v/>
      </c>
      <c r="BT11" t="str">
        <f t="shared" si="5"/>
        <v/>
      </c>
      <c r="BU11" t="str">
        <f t="shared" si="5"/>
        <v/>
      </c>
      <c r="BV11" t="str">
        <f t="shared" si="5"/>
        <v/>
      </c>
      <c r="BW11" t="str">
        <f t="shared" si="5"/>
        <v/>
      </c>
    </row>
    <row r="12" spans="1:75" x14ac:dyDescent="0.25">
      <c r="A12" t="s">
        <v>37</v>
      </c>
      <c r="B12">
        <v>2</v>
      </c>
      <c r="C12" t="s">
        <v>46</v>
      </c>
      <c r="D12" t="s">
        <v>38</v>
      </c>
      <c r="E12" s="2">
        <v>46204</v>
      </c>
      <c r="F12" s="2">
        <v>46206</v>
      </c>
      <c r="G12">
        <v>6</v>
      </c>
      <c r="H12">
        <v>600</v>
      </c>
      <c r="I12" t="s">
        <v>9</v>
      </c>
      <c r="J12">
        <f>SUMIFS('Suivi Temps'!$D:$D,'Suivi Temps'!$A:$A,"P001-002")</f>
        <v>3</v>
      </c>
      <c r="L12">
        <v>1</v>
      </c>
      <c r="P12" t="str">
        <f t="shared" si="0"/>
        <v>■</v>
      </c>
      <c r="Q12" t="str">
        <f t="shared" si="0"/>
        <v>■</v>
      </c>
      <c r="R12" t="str">
        <f t="shared" si="0"/>
        <v>■</v>
      </c>
      <c r="S12" t="str">
        <f t="shared" si="0"/>
        <v/>
      </c>
      <c r="T12" t="str">
        <f t="shared" si="0"/>
        <v/>
      </c>
      <c r="U12" t="str">
        <f t="shared" si="0"/>
        <v/>
      </c>
      <c r="V12" t="str">
        <f t="shared" si="0"/>
        <v/>
      </c>
      <c r="W12" t="str">
        <f t="shared" si="0"/>
        <v/>
      </c>
      <c r="X12" t="str">
        <f t="shared" si="0"/>
        <v/>
      </c>
      <c r="Y12" t="str">
        <f t="shared" si="0"/>
        <v/>
      </c>
      <c r="Z12" t="str">
        <f t="shared" si="1"/>
        <v/>
      </c>
      <c r="AA12" t="str">
        <f t="shared" si="1"/>
        <v/>
      </c>
      <c r="AB12" t="str">
        <f t="shared" si="1"/>
        <v/>
      </c>
      <c r="AC12" t="str">
        <f t="shared" si="1"/>
        <v/>
      </c>
      <c r="AD12" t="str">
        <f t="shared" si="1"/>
        <v/>
      </c>
      <c r="AE12" t="str">
        <f t="shared" si="1"/>
        <v/>
      </c>
      <c r="AF12" t="str">
        <f t="shared" si="1"/>
        <v/>
      </c>
      <c r="AG12" t="str">
        <f t="shared" si="1"/>
        <v/>
      </c>
      <c r="AH12" t="str">
        <f t="shared" si="1"/>
        <v/>
      </c>
      <c r="AI12" t="str">
        <f t="shared" si="1"/>
        <v/>
      </c>
      <c r="AJ12" t="str">
        <f t="shared" si="2"/>
        <v/>
      </c>
      <c r="AK12" t="str">
        <f t="shared" si="2"/>
        <v/>
      </c>
      <c r="AL12" t="str">
        <f t="shared" si="2"/>
        <v/>
      </c>
      <c r="AM12" t="str">
        <f t="shared" si="2"/>
        <v/>
      </c>
      <c r="AN12" t="str">
        <f t="shared" si="2"/>
        <v/>
      </c>
      <c r="AO12" t="str">
        <f t="shared" si="2"/>
        <v/>
      </c>
      <c r="AP12" t="str">
        <f t="shared" si="2"/>
        <v/>
      </c>
      <c r="AQ12" t="str">
        <f t="shared" si="2"/>
        <v/>
      </c>
      <c r="AR12" t="str">
        <f t="shared" si="2"/>
        <v/>
      </c>
      <c r="AS12" t="str">
        <f t="shared" si="2"/>
        <v/>
      </c>
      <c r="AT12" t="str">
        <f t="shared" si="3"/>
        <v/>
      </c>
      <c r="AU12" t="str">
        <f t="shared" si="3"/>
        <v/>
      </c>
      <c r="AV12" t="str">
        <f t="shared" si="3"/>
        <v/>
      </c>
      <c r="AW12" t="str">
        <f t="shared" si="3"/>
        <v/>
      </c>
      <c r="AX12" t="str">
        <f t="shared" si="3"/>
        <v/>
      </c>
      <c r="AY12" t="str">
        <f t="shared" si="3"/>
        <v/>
      </c>
      <c r="AZ12" t="str">
        <f t="shared" si="3"/>
        <v/>
      </c>
      <c r="BA12" t="str">
        <f t="shared" si="3"/>
        <v/>
      </c>
      <c r="BB12" t="str">
        <f t="shared" si="3"/>
        <v/>
      </c>
      <c r="BC12" t="str">
        <f t="shared" si="3"/>
        <v/>
      </c>
      <c r="BD12" t="str">
        <f t="shared" si="4"/>
        <v/>
      </c>
      <c r="BE12" t="str">
        <f t="shared" si="4"/>
        <v/>
      </c>
      <c r="BF12" t="str">
        <f t="shared" si="4"/>
        <v/>
      </c>
      <c r="BG12" t="str">
        <f t="shared" si="4"/>
        <v/>
      </c>
      <c r="BH12" t="str">
        <f t="shared" si="4"/>
        <v/>
      </c>
      <c r="BI12" t="str">
        <f t="shared" si="4"/>
        <v/>
      </c>
      <c r="BJ12" t="str">
        <f t="shared" si="4"/>
        <v/>
      </c>
      <c r="BK12" t="str">
        <f t="shared" si="4"/>
        <v/>
      </c>
      <c r="BL12" t="str">
        <f t="shared" si="4"/>
        <v/>
      </c>
      <c r="BM12" t="str">
        <f t="shared" si="4"/>
        <v/>
      </c>
      <c r="BN12" t="str">
        <f t="shared" si="5"/>
        <v/>
      </c>
      <c r="BO12" t="str">
        <f t="shared" si="5"/>
        <v/>
      </c>
      <c r="BP12" t="str">
        <f t="shared" si="5"/>
        <v/>
      </c>
      <c r="BQ12" t="str">
        <f t="shared" si="5"/>
        <v/>
      </c>
      <c r="BR12" t="str">
        <f t="shared" si="5"/>
        <v/>
      </c>
      <c r="BS12" t="str">
        <f t="shared" si="5"/>
        <v/>
      </c>
      <c r="BT12" t="str">
        <f t="shared" si="5"/>
        <v/>
      </c>
      <c r="BU12" t="str">
        <f t="shared" si="5"/>
        <v/>
      </c>
      <c r="BV12" t="str">
        <f t="shared" si="5"/>
        <v/>
      </c>
      <c r="BW12" t="str">
        <f t="shared" si="5"/>
        <v/>
      </c>
    </row>
    <row r="13" spans="1:75" x14ac:dyDescent="0.25">
      <c r="A13" t="s">
        <v>39</v>
      </c>
      <c r="B13">
        <v>3</v>
      </c>
      <c r="C13" t="s">
        <v>37</v>
      </c>
      <c r="D13" t="s">
        <v>198</v>
      </c>
      <c r="E13" s="2">
        <v>46206</v>
      </c>
      <c r="F13" s="2">
        <v>46211</v>
      </c>
      <c r="G13">
        <v>10</v>
      </c>
      <c r="H13">
        <v>1200</v>
      </c>
      <c r="I13" t="s">
        <v>15</v>
      </c>
      <c r="J13">
        <f>SUMIFS('Suivi Temps'!$D:$D,'Suivi Temps'!$A:$A,"P001-003")</f>
        <v>5</v>
      </c>
      <c r="L13">
        <v>0.6</v>
      </c>
      <c r="P13" t="str">
        <f t="shared" si="0"/>
        <v/>
      </c>
      <c r="Q13" t="str">
        <f t="shared" si="0"/>
        <v/>
      </c>
      <c r="R13" t="str">
        <f t="shared" si="0"/>
        <v>■</v>
      </c>
      <c r="S13" t="str">
        <f t="shared" si="0"/>
        <v>■</v>
      </c>
      <c r="T13" t="str">
        <f t="shared" si="0"/>
        <v>■</v>
      </c>
      <c r="U13" t="str">
        <f t="shared" si="0"/>
        <v>■</v>
      </c>
      <c r="V13" t="str">
        <f t="shared" si="0"/>
        <v>■</v>
      </c>
      <c r="W13" t="str">
        <f t="shared" si="0"/>
        <v>■</v>
      </c>
      <c r="X13" t="str">
        <f t="shared" si="0"/>
        <v/>
      </c>
      <c r="Y13" t="str">
        <f t="shared" si="0"/>
        <v/>
      </c>
      <c r="Z13" t="str">
        <f t="shared" si="1"/>
        <v/>
      </c>
      <c r="AA13" t="str">
        <f t="shared" si="1"/>
        <v/>
      </c>
      <c r="AB13" t="str">
        <f t="shared" si="1"/>
        <v/>
      </c>
      <c r="AC13" t="str">
        <f t="shared" si="1"/>
        <v/>
      </c>
      <c r="AD13" t="str">
        <f t="shared" si="1"/>
        <v/>
      </c>
      <c r="AE13" t="str">
        <f t="shared" si="1"/>
        <v/>
      </c>
      <c r="AF13" t="str">
        <f t="shared" si="1"/>
        <v/>
      </c>
      <c r="AG13" t="str">
        <f t="shared" si="1"/>
        <v/>
      </c>
      <c r="AH13" t="str">
        <f t="shared" si="1"/>
        <v/>
      </c>
      <c r="AI13" t="str">
        <f t="shared" si="1"/>
        <v/>
      </c>
      <c r="AJ13" t="str">
        <f t="shared" si="2"/>
        <v/>
      </c>
      <c r="AK13" t="str">
        <f t="shared" si="2"/>
        <v/>
      </c>
      <c r="AL13" t="str">
        <f t="shared" si="2"/>
        <v/>
      </c>
      <c r="AM13" t="str">
        <f t="shared" si="2"/>
        <v/>
      </c>
      <c r="AN13" t="str">
        <f t="shared" si="2"/>
        <v/>
      </c>
      <c r="AO13" t="str">
        <f t="shared" si="2"/>
        <v/>
      </c>
      <c r="AP13" t="str">
        <f t="shared" si="2"/>
        <v/>
      </c>
      <c r="AQ13" t="str">
        <f t="shared" si="2"/>
        <v/>
      </c>
      <c r="AR13" t="str">
        <f t="shared" si="2"/>
        <v/>
      </c>
      <c r="AS13" t="str">
        <f t="shared" si="2"/>
        <v/>
      </c>
      <c r="AT13" t="str">
        <f t="shared" si="3"/>
        <v/>
      </c>
      <c r="AU13" t="str">
        <f t="shared" si="3"/>
        <v/>
      </c>
      <c r="AV13" t="str">
        <f t="shared" si="3"/>
        <v/>
      </c>
      <c r="AW13" t="str">
        <f t="shared" si="3"/>
        <v/>
      </c>
      <c r="AX13" t="str">
        <f t="shared" si="3"/>
        <v/>
      </c>
      <c r="AY13" t="str">
        <f t="shared" si="3"/>
        <v/>
      </c>
      <c r="AZ13" t="str">
        <f t="shared" si="3"/>
        <v/>
      </c>
      <c r="BA13" t="str">
        <f t="shared" si="3"/>
        <v/>
      </c>
      <c r="BB13" t="str">
        <f t="shared" si="3"/>
        <v/>
      </c>
      <c r="BC13" t="str">
        <f t="shared" si="3"/>
        <v/>
      </c>
      <c r="BD13" t="str">
        <f t="shared" si="4"/>
        <v/>
      </c>
      <c r="BE13" t="str">
        <f t="shared" si="4"/>
        <v/>
      </c>
      <c r="BF13" t="str">
        <f t="shared" si="4"/>
        <v/>
      </c>
      <c r="BG13" t="str">
        <f t="shared" si="4"/>
        <v/>
      </c>
      <c r="BH13" t="str">
        <f t="shared" si="4"/>
        <v/>
      </c>
      <c r="BI13" t="str">
        <f t="shared" si="4"/>
        <v/>
      </c>
      <c r="BJ13" t="str">
        <f t="shared" si="4"/>
        <v/>
      </c>
      <c r="BK13" t="str">
        <f t="shared" si="4"/>
        <v/>
      </c>
      <c r="BL13" t="str">
        <f t="shared" si="4"/>
        <v/>
      </c>
      <c r="BM13" t="str">
        <f t="shared" si="4"/>
        <v/>
      </c>
      <c r="BN13" t="str">
        <f t="shared" si="5"/>
        <v/>
      </c>
      <c r="BO13" t="str">
        <f t="shared" si="5"/>
        <v/>
      </c>
      <c r="BP13" t="str">
        <f t="shared" si="5"/>
        <v/>
      </c>
      <c r="BQ13" t="str">
        <f t="shared" si="5"/>
        <v/>
      </c>
      <c r="BR13" t="str">
        <f t="shared" si="5"/>
        <v/>
      </c>
      <c r="BS13" t="str">
        <f t="shared" si="5"/>
        <v/>
      </c>
      <c r="BT13" t="str">
        <f t="shared" si="5"/>
        <v/>
      </c>
      <c r="BU13" t="str">
        <f t="shared" si="5"/>
        <v/>
      </c>
      <c r="BV13" t="str">
        <f t="shared" si="5"/>
        <v/>
      </c>
      <c r="BW13" t="str">
        <f t="shared" si="5"/>
        <v/>
      </c>
    </row>
    <row r="14" spans="1:75" x14ac:dyDescent="0.25">
      <c r="A14" t="s">
        <v>52</v>
      </c>
      <c r="B14">
        <v>4</v>
      </c>
      <c r="C14" t="s">
        <v>39</v>
      </c>
      <c r="D14" t="s">
        <v>199</v>
      </c>
      <c r="E14" s="2">
        <v>46207</v>
      </c>
      <c r="F14" s="2">
        <v>46211</v>
      </c>
      <c r="G14">
        <v>4</v>
      </c>
      <c r="H14">
        <v>500</v>
      </c>
      <c r="I14" t="s">
        <v>25</v>
      </c>
      <c r="J14">
        <f>SUMIFS('Suivi Temps'!$D:$D,'Suivi Temps'!$A:$A,"P001-004")</f>
        <v>0</v>
      </c>
      <c r="L14">
        <v>0.5</v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>■</v>
      </c>
      <c r="T14" t="str">
        <f t="shared" si="0"/>
        <v>■</v>
      </c>
      <c r="U14" t="str">
        <f t="shared" si="0"/>
        <v>■</v>
      </c>
      <c r="V14" t="str">
        <f t="shared" si="0"/>
        <v>■</v>
      </c>
      <c r="W14" t="str">
        <f t="shared" si="0"/>
        <v>■</v>
      </c>
      <c r="X14" t="str">
        <f t="shared" si="0"/>
        <v/>
      </c>
      <c r="Y14" t="str">
        <f t="shared" si="0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  <c r="AI14" t="str">
        <f t="shared" si="1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3"/>
        <v/>
      </c>
      <c r="AU14" t="str">
        <f t="shared" si="3"/>
        <v/>
      </c>
      <c r="AV14" t="str">
        <f t="shared" si="3"/>
        <v/>
      </c>
      <c r="AW14" t="str">
        <f t="shared" si="3"/>
        <v/>
      </c>
      <c r="AX14" t="str">
        <f t="shared" si="3"/>
        <v/>
      </c>
      <c r="AY14" t="str">
        <f t="shared" si="3"/>
        <v/>
      </c>
      <c r="AZ14" t="str">
        <f t="shared" si="3"/>
        <v/>
      </c>
      <c r="BA14" t="str">
        <f t="shared" si="3"/>
        <v/>
      </c>
      <c r="BB14" t="str">
        <f t="shared" si="3"/>
        <v/>
      </c>
      <c r="BC14" t="str">
        <f t="shared" si="3"/>
        <v/>
      </c>
      <c r="BD14" t="str">
        <f t="shared" si="4"/>
        <v/>
      </c>
      <c r="BE14" t="str">
        <f t="shared" si="4"/>
        <v/>
      </c>
      <c r="BF14" t="str">
        <f t="shared" si="4"/>
        <v/>
      </c>
      <c r="BG14" t="str">
        <f t="shared" si="4"/>
        <v/>
      </c>
      <c r="BH14" t="str">
        <f t="shared" si="4"/>
        <v/>
      </c>
      <c r="BI14" t="str">
        <f t="shared" si="4"/>
        <v/>
      </c>
      <c r="BJ14" t="str">
        <f t="shared" si="4"/>
        <v/>
      </c>
      <c r="BK14" t="str">
        <f t="shared" si="4"/>
        <v/>
      </c>
      <c r="BL14" t="str">
        <f t="shared" si="4"/>
        <v/>
      </c>
      <c r="BM14" t="str">
        <f t="shared" si="4"/>
        <v/>
      </c>
      <c r="BN14" t="str">
        <f t="shared" si="5"/>
        <v/>
      </c>
      <c r="BO14" t="str">
        <f t="shared" si="5"/>
        <v/>
      </c>
      <c r="BP14" t="str">
        <f t="shared" si="5"/>
        <v/>
      </c>
      <c r="BQ14" t="str">
        <f t="shared" si="5"/>
        <v/>
      </c>
      <c r="BR14" t="str">
        <f t="shared" si="5"/>
        <v/>
      </c>
      <c r="BS14" t="str">
        <f t="shared" si="5"/>
        <v/>
      </c>
      <c r="BT14" t="str">
        <f t="shared" si="5"/>
        <v/>
      </c>
      <c r="BU14" t="str">
        <f t="shared" si="5"/>
        <v/>
      </c>
      <c r="BV14" t="str">
        <f t="shared" si="5"/>
        <v/>
      </c>
      <c r="BW14" t="str">
        <f t="shared" si="5"/>
        <v/>
      </c>
    </row>
    <row r="15" spans="1:75" x14ac:dyDescent="0.25">
      <c r="A15" t="s">
        <v>53</v>
      </c>
      <c r="B15">
        <v>1</v>
      </c>
      <c r="D15" t="s">
        <v>200</v>
      </c>
      <c r="E15" s="2">
        <v>46215</v>
      </c>
      <c r="F15" s="2">
        <v>46250</v>
      </c>
      <c r="G15">
        <v>80</v>
      </c>
      <c r="H15">
        <v>12000</v>
      </c>
      <c r="I15" t="s">
        <v>201</v>
      </c>
      <c r="J15">
        <f>SUMIFS('Suivi Temps'!$D:$D,'Suivi Temps'!$A:$A,"P001-005")</f>
        <v>0</v>
      </c>
      <c r="L15">
        <v>0.25</v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1"/>
        <v/>
      </c>
      <c r="AA15" t="str">
        <f t="shared" si="1"/>
        <v>■</v>
      </c>
      <c r="AB15" t="str">
        <f t="shared" si="1"/>
        <v>■</v>
      </c>
      <c r="AC15" t="str">
        <f t="shared" si="1"/>
        <v>■</v>
      </c>
      <c r="AD15" t="str">
        <f t="shared" si="1"/>
        <v>■</v>
      </c>
      <c r="AE15" t="str">
        <f t="shared" si="1"/>
        <v>■</v>
      </c>
      <c r="AF15" t="str">
        <f t="shared" si="1"/>
        <v>■</v>
      </c>
      <c r="AG15" t="str">
        <f t="shared" si="1"/>
        <v>■</v>
      </c>
      <c r="AH15" t="str">
        <f t="shared" si="1"/>
        <v>■</v>
      </c>
      <c r="AI15" t="str">
        <f t="shared" si="1"/>
        <v>■</v>
      </c>
      <c r="AJ15" t="str">
        <f t="shared" si="2"/>
        <v>■</v>
      </c>
      <c r="AK15" t="str">
        <f t="shared" si="2"/>
        <v>■</v>
      </c>
      <c r="AL15" t="str">
        <f t="shared" si="2"/>
        <v>■</v>
      </c>
      <c r="AM15" t="str">
        <f t="shared" si="2"/>
        <v>■</v>
      </c>
      <c r="AN15" t="str">
        <f t="shared" si="2"/>
        <v>■</v>
      </c>
      <c r="AO15" t="str">
        <f t="shared" si="2"/>
        <v>■</v>
      </c>
      <c r="AP15" t="str">
        <f t="shared" si="2"/>
        <v>■</v>
      </c>
      <c r="AQ15" t="str">
        <f t="shared" si="2"/>
        <v>■</v>
      </c>
      <c r="AR15" t="str">
        <f t="shared" si="2"/>
        <v>■</v>
      </c>
      <c r="AS15" t="str">
        <f t="shared" si="2"/>
        <v>■</v>
      </c>
      <c r="AT15" t="str">
        <f t="shared" si="3"/>
        <v>■</v>
      </c>
      <c r="AU15" t="str">
        <f t="shared" si="3"/>
        <v>■</v>
      </c>
      <c r="AV15" t="str">
        <f t="shared" si="3"/>
        <v>■</v>
      </c>
      <c r="AW15" t="str">
        <f t="shared" si="3"/>
        <v>■</v>
      </c>
      <c r="AX15" t="str">
        <f t="shared" si="3"/>
        <v>■</v>
      </c>
      <c r="AY15" t="str">
        <f t="shared" si="3"/>
        <v>■</v>
      </c>
      <c r="AZ15" t="str">
        <f t="shared" si="3"/>
        <v>■</v>
      </c>
      <c r="BA15" t="str">
        <f t="shared" si="3"/>
        <v>■</v>
      </c>
      <c r="BB15" t="str">
        <f t="shared" si="3"/>
        <v>■</v>
      </c>
      <c r="BC15" t="str">
        <f t="shared" si="3"/>
        <v>■</v>
      </c>
      <c r="BD15" t="str">
        <f t="shared" si="4"/>
        <v>■</v>
      </c>
      <c r="BE15" t="str">
        <f t="shared" si="4"/>
        <v>■</v>
      </c>
      <c r="BF15" t="str">
        <f t="shared" si="4"/>
        <v>■</v>
      </c>
      <c r="BG15" t="str">
        <f t="shared" si="4"/>
        <v>■</v>
      </c>
      <c r="BH15" t="str">
        <f t="shared" si="4"/>
        <v>■</v>
      </c>
      <c r="BI15" t="str">
        <f t="shared" si="4"/>
        <v>■</v>
      </c>
      <c r="BJ15" t="str">
        <f t="shared" si="4"/>
        <v>■</v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5"/>
        <v/>
      </c>
      <c r="BO15" t="str">
        <f t="shared" si="5"/>
        <v/>
      </c>
      <c r="BP15" t="str">
        <f t="shared" si="5"/>
        <v/>
      </c>
      <c r="BQ15" t="str">
        <f t="shared" si="5"/>
        <v/>
      </c>
      <c r="BR15" t="str">
        <f t="shared" si="5"/>
        <v/>
      </c>
      <c r="BS15" t="str">
        <f t="shared" si="5"/>
        <v/>
      </c>
      <c r="BT15" t="str">
        <f t="shared" si="5"/>
        <v/>
      </c>
      <c r="BU15" t="str">
        <f t="shared" si="5"/>
        <v/>
      </c>
      <c r="BV15" t="str">
        <f t="shared" si="5"/>
        <v/>
      </c>
      <c r="BW15" t="str">
        <f t="shared" si="5"/>
        <v/>
      </c>
    </row>
    <row r="16" spans="1:75" x14ac:dyDescent="0.25">
      <c r="A16" t="s">
        <v>54</v>
      </c>
      <c r="B16">
        <v>2</v>
      </c>
      <c r="C16" t="s">
        <v>53</v>
      </c>
      <c r="D16" t="s">
        <v>202</v>
      </c>
      <c r="E16" s="2">
        <v>46215</v>
      </c>
      <c r="F16" s="2">
        <v>46233</v>
      </c>
      <c r="G16">
        <v>22</v>
      </c>
      <c r="H16">
        <v>3500</v>
      </c>
      <c r="I16" t="s">
        <v>25</v>
      </c>
      <c r="J16">
        <f>SUMIFS('Suivi Temps'!$D:$D,'Suivi Temps'!$A:$A,"P001-006")</f>
        <v>0</v>
      </c>
      <c r="L16">
        <v>0.4</v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  <c r="Z16" t="str">
        <f t="shared" si="1"/>
        <v/>
      </c>
      <c r="AA16" t="str">
        <f t="shared" si="1"/>
        <v>■</v>
      </c>
      <c r="AB16" t="str">
        <f t="shared" si="1"/>
        <v>■</v>
      </c>
      <c r="AC16" t="str">
        <f t="shared" si="1"/>
        <v>■</v>
      </c>
      <c r="AD16" t="str">
        <f t="shared" si="1"/>
        <v>■</v>
      </c>
      <c r="AE16" t="str">
        <f t="shared" si="1"/>
        <v>■</v>
      </c>
      <c r="AF16" t="str">
        <f t="shared" si="1"/>
        <v>■</v>
      </c>
      <c r="AG16" t="str">
        <f t="shared" si="1"/>
        <v>■</v>
      </c>
      <c r="AH16" t="str">
        <f t="shared" si="1"/>
        <v>■</v>
      </c>
      <c r="AI16" t="str">
        <f t="shared" si="1"/>
        <v>■</v>
      </c>
      <c r="AJ16" t="str">
        <f t="shared" si="2"/>
        <v>■</v>
      </c>
      <c r="AK16" t="str">
        <f t="shared" si="2"/>
        <v>■</v>
      </c>
      <c r="AL16" t="str">
        <f t="shared" si="2"/>
        <v>■</v>
      </c>
      <c r="AM16" t="str">
        <f t="shared" si="2"/>
        <v>■</v>
      </c>
      <c r="AN16" t="str">
        <f t="shared" si="2"/>
        <v>■</v>
      </c>
      <c r="AO16" t="str">
        <f t="shared" si="2"/>
        <v>■</v>
      </c>
      <c r="AP16" t="str">
        <f t="shared" si="2"/>
        <v>■</v>
      </c>
      <c r="AQ16" t="str">
        <f t="shared" si="2"/>
        <v>■</v>
      </c>
      <c r="AR16" t="str">
        <f t="shared" si="2"/>
        <v>■</v>
      </c>
      <c r="AS16" t="str">
        <f t="shared" si="2"/>
        <v>■</v>
      </c>
      <c r="AT16" t="str">
        <f t="shared" si="3"/>
        <v/>
      </c>
      <c r="AU16" t="str">
        <f t="shared" si="3"/>
        <v/>
      </c>
      <c r="AV16" t="str">
        <f t="shared" si="3"/>
        <v/>
      </c>
      <c r="AW16" t="str">
        <f t="shared" si="3"/>
        <v/>
      </c>
      <c r="AX16" t="str">
        <f t="shared" si="3"/>
        <v/>
      </c>
      <c r="AY16" t="str">
        <f t="shared" si="3"/>
        <v/>
      </c>
      <c r="AZ16" t="str">
        <f t="shared" si="3"/>
        <v/>
      </c>
      <c r="BA16" t="str">
        <f t="shared" si="3"/>
        <v/>
      </c>
      <c r="BB16" t="str">
        <f t="shared" si="3"/>
        <v/>
      </c>
      <c r="BC16" t="str">
        <f t="shared" si="3"/>
        <v/>
      </c>
      <c r="BD16" t="str">
        <f t="shared" si="4"/>
        <v/>
      </c>
      <c r="BE16" t="str">
        <f t="shared" si="4"/>
        <v/>
      </c>
      <c r="BF16" t="str">
        <f t="shared" si="4"/>
        <v/>
      </c>
      <c r="BG16" t="str">
        <f t="shared" si="4"/>
        <v/>
      </c>
      <c r="BH16" t="str">
        <f t="shared" si="4"/>
        <v/>
      </c>
      <c r="BI16" t="str">
        <f t="shared" si="4"/>
        <v/>
      </c>
      <c r="BJ16" t="str">
        <f t="shared" si="4"/>
        <v/>
      </c>
      <c r="BK16" t="str">
        <f t="shared" si="4"/>
        <v/>
      </c>
      <c r="BL16" t="str">
        <f t="shared" si="4"/>
        <v/>
      </c>
      <c r="BM16" t="str">
        <f t="shared" si="4"/>
        <v/>
      </c>
      <c r="BN16" t="str">
        <f t="shared" si="5"/>
        <v/>
      </c>
      <c r="BO16" t="str">
        <f t="shared" si="5"/>
        <v/>
      </c>
      <c r="BP16" t="str">
        <f t="shared" si="5"/>
        <v/>
      </c>
      <c r="BQ16" t="str">
        <f t="shared" si="5"/>
        <v/>
      </c>
      <c r="BR16" t="str">
        <f t="shared" si="5"/>
        <v/>
      </c>
      <c r="BS16" t="str">
        <f t="shared" si="5"/>
        <v/>
      </c>
      <c r="BT16" t="str">
        <f t="shared" si="5"/>
        <v/>
      </c>
      <c r="BU16" t="str">
        <f t="shared" si="5"/>
        <v/>
      </c>
      <c r="BV16" t="str">
        <f t="shared" si="5"/>
        <v/>
      </c>
      <c r="BW16" t="str">
        <f t="shared" si="5"/>
        <v/>
      </c>
    </row>
    <row r="17" spans="1:75" x14ac:dyDescent="0.25">
      <c r="A17" t="s">
        <v>55</v>
      </c>
      <c r="B17">
        <v>3</v>
      </c>
      <c r="C17" t="s">
        <v>54</v>
      </c>
      <c r="D17" t="s">
        <v>203</v>
      </c>
      <c r="E17" s="2">
        <v>46222</v>
      </c>
      <c r="F17" s="2">
        <v>46250</v>
      </c>
      <c r="G17">
        <v>36</v>
      </c>
      <c r="H17">
        <v>5200</v>
      </c>
      <c r="I17" t="s">
        <v>15</v>
      </c>
      <c r="J17">
        <f>SUMIFS('Suivi Temps'!$D:$D,'Suivi Temps'!$A:$A,"P001-007")</f>
        <v>0</v>
      </c>
      <c r="L17">
        <v>0.2</v>
      </c>
      <c r="P17" t="str">
        <f t="shared" si="0"/>
        <v/>
      </c>
      <c r="Q17" t="str">
        <f t="shared" si="0"/>
        <v/>
      </c>
      <c r="R17" t="str">
        <f t="shared" si="0"/>
        <v/>
      </c>
      <c r="S17" t="str">
        <f t="shared" si="0"/>
        <v/>
      </c>
      <c r="T17" t="str">
        <f t="shared" si="0"/>
        <v/>
      </c>
      <c r="U17" t="str">
        <f t="shared" si="0"/>
        <v/>
      </c>
      <c r="V17" t="str">
        <f t="shared" si="0"/>
        <v/>
      </c>
      <c r="W17" t="str">
        <f t="shared" si="0"/>
        <v/>
      </c>
      <c r="X17" t="str">
        <f t="shared" si="0"/>
        <v/>
      </c>
      <c r="Y17" t="str">
        <f t="shared" si="0"/>
        <v/>
      </c>
      <c r="Z17" t="str">
        <f t="shared" si="1"/>
        <v/>
      </c>
      <c r="AA17" t="str">
        <f t="shared" si="1"/>
        <v/>
      </c>
      <c r="AB17" t="str">
        <f t="shared" si="1"/>
        <v/>
      </c>
      <c r="AC17" t="str">
        <f t="shared" si="1"/>
        <v/>
      </c>
      <c r="AD17" t="str">
        <f t="shared" si="1"/>
        <v/>
      </c>
      <c r="AE17" t="str">
        <f t="shared" si="1"/>
        <v/>
      </c>
      <c r="AF17" t="str">
        <f t="shared" si="1"/>
        <v/>
      </c>
      <c r="AG17" t="str">
        <f t="shared" si="1"/>
        <v/>
      </c>
      <c r="AH17" t="str">
        <f t="shared" si="1"/>
        <v>■</v>
      </c>
      <c r="AI17" t="str">
        <f t="shared" si="1"/>
        <v>■</v>
      </c>
      <c r="AJ17" t="str">
        <f t="shared" si="2"/>
        <v>■</v>
      </c>
      <c r="AK17" t="str">
        <f t="shared" si="2"/>
        <v>■</v>
      </c>
      <c r="AL17" t="str">
        <f t="shared" si="2"/>
        <v>■</v>
      </c>
      <c r="AM17" t="str">
        <f t="shared" si="2"/>
        <v>■</v>
      </c>
      <c r="AN17" t="str">
        <f t="shared" si="2"/>
        <v>■</v>
      </c>
      <c r="AO17" t="str">
        <f t="shared" si="2"/>
        <v>■</v>
      </c>
      <c r="AP17" t="str">
        <f t="shared" si="2"/>
        <v>■</v>
      </c>
      <c r="AQ17" t="str">
        <f t="shared" si="2"/>
        <v>■</v>
      </c>
      <c r="AR17" t="str">
        <f t="shared" si="2"/>
        <v>■</v>
      </c>
      <c r="AS17" t="str">
        <f t="shared" si="2"/>
        <v>■</v>
      </c>
      <c r="AT17" t="str">
        <f t="shared" si="3"/>
        <v>■</v>
      </c>
      <c r="AU17" t="str">
        <f t="shared" si="3"/>
        <v>■</v>
      </c>
      <c r="AV17" t="str">
        <f t="shared" si="3"/>
        <v>■</v>
      </c>
      <c r="AW17" t="str">
        <f t="shared" si="3"/>
        <v>■</v>
      </c>
      <c r="AX17" t="str">
        <f t="shared" si="3"/>
        <v>■</v>
      </c>
      <c r="AY17" t="str">
        <f t="shared" si="3"/>
        <v>■</v>
      </c>
      <c r="AZ17" t="str">
        <f t="shared" si="3"/>
        <v>■</v>
      </c>
      <c r="BA17" t="str">
        <f t="shared" si="3"/>
        <v>■</v>
      </c>
      <c r="BB17" t="str">
        <f t="shared" si="3"/>
        <v>■</v>
      </c>
      <c r="BC17" t="str">
        <f t="shared" si="3"/>
        <v>■</v>
      </c>
      <c r="BD17" t="str">
        <f t="shared" si="4"/>
        <v>■</v>
      </c>
      <c r="BE17" t="str">
        <f t="shared" si="4"/>
        <v>■</v>
      </c>
      <c r="BF17" t="str">
        <f t="shared" si="4"/>
        <v>■</v>
      </c>
      <c r="BG17" t="str">
        <f t="shared" si="4"/>
        <v>■</v>
      </c>
      <c r="BH17" t="str">
        <f t="shared" si="4"/>
        <v>■</v>
      </c>
      <c r="BI17" t="str">
        <f t="shared" si="4"/>
        <v>■</v>
      </c>
      <c r="BJ17" t="str">
        <f t="shared" si="4"/>
        <v>■</v>
      </c>
      <c r="BK17" t="str">
        <f t="shared" si="4"/>
        <v/>
      </c>
      <c r="BL17" t="str">
        <f t="shared" si="4"/>
        <v/>
      </c>
      <c r="BM17" t="str">
        <f t="shared" si="4"/>
        <v/>
      </c>
      <c r="BN17" t="str">
        <f t="shared" si="5"/>
        <v/>
      </c>
      <c r="BO17" t="str">
        <f t="shared" si="5"/>
        <v/>
      </c>
      <c r="BP17" t="str">
        <f t="shared" si="5"/>
        <v/>
      </c>
      <c r="BQ17" t="str">
        <f t="shared" si="5"/>
        <v/>
      </c>
      <c r="BR17" t="str">
        <f t="shared" si="5"/>
        <v/>
      </c>
      <c r="BS17" t="str">
        <f t="shared" si="5"/>
        <v/>
      </c>
      <c r="BT17" t="str">
        <f t="shared" si="5"/>
        <v/>
      </c>
      <c r="BU17" t="str">
        <f t="shared" si="5"/>
        <v/>
      </c>
      <c r="BV17" t="str">
        <f t="shared" si="5"/>
        <v/>
      </c>
      <c r="BW17" t="str">
        <f t="shared" si="5"/>
        <v/>
      </c>
    </row>
    <row r="18" spans="1:75" x14ac:dyDescent="0.25">
      <c r="A18" t="s">
        <v>56</v>
      </c>
      <c r="B18">
        <v>4</v>
      </c>
      <c r="C18" t="s">
        <v>55</v>
      </c>
      <c r="D18" t="s">
        <v>204</v>
      </c>
      <c r="E18" s="2">
        <v>46224</v>
      </c>
      <c r="F18" s="2">
        <v>46247</v>
      </c>
      <c r="G18">
        <v>12</v>
      </c>
      <c r="H18">
        <v>1500</v>
      </c>
      <c r="I18" t="s">
        <v>28</v>
      </c>
      <c r="J18">
        <f>SUMIFS('Suivi Temps'!$D:$D,'Suivi Temps'!$A:$A,"P001-008")</f>
        <v>0</v>
      </c>
      <c r="L18">
        <v>0.1</v>
      </c>
      <c r="P18" t="str">
        <f t="shared" si="0"/>
        <v/>
      </c>
      <c r="Q18" t="str">
        <f t="shared" si="0"/>
        <v/>
      </c>
      <c r="R18" t="str">
        <f t="shared" si="0"/>
        <v/>
      </c>
      <c r="S18" t="str">
        <f t="shared" si="0"/>
        <v/>
      </c>
      <c r="T18" t="str">
        <f t="shared" si="0"/>
        <v/>
      </c>
      <c r="U18" t="str">
        <f t="shared" si="0"/>
        <v/>
      </c>
      <c r="V18" t="str">
        <f t="shared" si="0"/>
        <v/>
      </c>
      <c r="W18" t="str">
        <f t="shared" si="0"/>
        <v/>
      </c>
      <c r="X18" t="str">
        <f t="shared" si="0"/>
        <v/>
      </c>
      <c r="Y18" t="str">
        <f t="shared" si="0"/>
        <v/>
      </c>
      <c r="Z18" t="str">
        <f t="shared" si="1"/>
        <v/>
      </c>
      <c r="AA18" t="str">
        <f t="shared" si="1"/>
        <v/>
      </c>
      <c r="AB18" t="str">
        <f t="shared" si="1"/>
        <v/>
      </c>
      <c r="AC18" t="str">
        <f t="shared" si="1"/>
        <v/>
      </c>
      <c r="AD18" t="str">
        <f t="shared" si="1"/>
        <v/>
      </c>
      <c r="AE18" t="str">
        <f t="shared" si="1"/>
        <v/>
      </c>
      <c r="AF18" t="str">
        <f t="shared" si="1"/>
        <v/>
      </c>
      <c r="AG18" t="str">
        <f t="shared" si="1"/>
        <v/>
      </c>
      <c r="AH18" t="str">
        <f t="shared" si="1"/>
        <v/>
      </c>
      <c r="AI18" t="str">
        <f t="shared" si="1"/>
        <v/>
      </c>
      <c r="AJ18" t="str">
        <f t="shared" si="2"/>
        <v>■</v>
      </c>
      <c r="AK18" t="str">
        <f t="shared" si="2"/>
        <v>■</v>
      </c>
      <c r="AL18" t="str">
        <f t="shared" si="2"/>
        <v>■</v>
      </c>
      <c r="AM18" t="str">
        <f t="shared" si="2"/>
        <v>■</v>
      </c>
      <c r="AN18" t="str">
        <f t="shared" si="2"/>
        <v>■</v>
      </c>
      <c r="AO18" t="str">
        <f t="shared" si="2"/>
        <v>■</v>
      </c>
      <c r="AP18" t="str">
        <f t="shared" si="2"/>
        <v>■</v>
      </c>
      <c r="AQ18" t="str">
        <f t="shared" si="2"/>
        <v>■</v>
      </c>
      <c r="AR18" t="str">
        <f t="shared" si="2"/>
        <v>■</v>
      </c>
      <c r="AS18" t="str">
        <f t="shared" si="2"/>
        <v>■</v>
      </c>
      <c r="AT18" t="str">
        <f t="shared" si="3"/>
        <v>■</v>
      </c>
      <c r="AU18" t="str">
        <f t="shared" si="3"/>
        <v>■</v>
      </c>
      <c r="AV18" t="str">
        <f t="shared" si="3"/>
        <v>■</v>
      </c>
      <c r="AW18" t="str">
        <f t="shared" si="3"/>
        <v>■</v>
      </c>
      <c r="AX18" t="str">
        <f t="shared" si="3"/>
        <v>■</v>
      </c>
      <c r="AY18" t="str">
        <f t="shared" si="3"/>
        <v>■</v>
      </c>
      <c r="AZ18" t="str">
        <f t="shared" si="3"/>
        <v>■</v>
      </c>
      <c r="BA18" t="str">
        <f t="shared" si="3"/>
        <v>■</v>
      </c>
      <c r="BB18" t="str">
        <f t="shared" si="3"/>
        <v>■</v>
      </c>
      <c r="BC18" t="str">
        <f t="shared" si="3"/>
        <v>■</v>
      </c>
      <c r="BD18" t="str">
        <f t="shared" si="4"/>
        <v>■</v>
      </c>
      <c r="BE18" t="str">
        <f t="shared" si="4"/>
        <v>■</v>
      </c>
      <c r="BF18" t="str">
        <f t="shared" si="4"/>
        <v>■</v>
      </c>
      <c r="BG18" t="str">
        <f t="shared" si="4"/>
        <v>■</v>
      </c>
      <c r="BH18" t="str">
        <f t="shared" si="4"/>
        <v/>
      </c>
      <c r="BI18" t="str">
        <f t="shared" si="4"/>
        <v/>
      </c>
      <c r="BJ18" t="str">
        <f t="shared" si="4"/>
        <v/>
      </c>
      <c r="BK18" t="str">
        <f t="shared" si="4"/>
        <v/>
      </c>
      <c r="BL18" t="str">
        <f t="shared" si="4"/>
        <v/>
      </c>
      <c r="BM18" t="str">
        <f t="shared" si="4"/>
        <v/>
      </c>
      <c r="BN18" t="str">
        <f t="shared" si="5"/>
        <v/>
      </c>
      <c r="BO18" t="str">
        <f t="shared" si="5"/>
        <v/>
      </c>
      <c r="BP18" t="str">
        <f t="shared" si="5"/>
        <v/>
      </c>
      <c r="BQ18" t="str">
        <f t="shared" si="5"/>
        <v/>
      </c>
      <c r="BR18" t="str">
        <f t="shared" si="5"/>
        <v/>
      </c>
      <c r="BS18" t="str">
        <f t="shared" si="5"/>
        <v/>
      </c>
      <c r="BT18" t="str">
        <f t="shared" si="5"/>
        <v/>
      </c>
      <c r="BU18" t="str">
        <f t="shared" si="5"/>
        <v/>
      </c>
      <c r="BV18" t="str">
        <f t="shared" si="5"/>
        <v/>
      </c>
      <c r="BW18" t="str">
        <f t="shared" si="5"/>
        <v/>
      </c>
    </row>
    <row r="19" spans="1:75" x14ac:dyDescent="0.25">
      <c r="A19" t="s">
        <v>57</v>
      </c>
      <c r="B19">
        <v>1</v>
      </c>
      <c r="D19" t="s">
        <v>205</v>
      </c>
      <c r="E19" s="2">
        <v>46240</v>
      </c>
      <c r="F19" s="2">
        <v>46288</v>
      </c>
      <c r="G19">
        <v>30</v>
      </c>
      <c r="H19">
        <v>4500</v>
      </c>
      <c r="I19" t="s">
        <v>28</v>
      </c>
      <c r="J19">
        <f>SUMIFS('Suivi Temps'!$D:$D,'Suivi Temps'!$A:$A,"P001-009")</f>
        <v>0</v>
      </c>
      <c r="L19">
        <v>0</v>
      </c>
      <c r="P19" t="str">
        <f t="shared" si="0"/>
        <v/>
      </c>
      <c r="Q19" t="str">
        <f t="shared" si="0"/>
        <v/>
      </c>
      <c r="R19" t="str">
        <f t="shared" si="0"/>
        <v/>
      </c>
      <c r="S19" t="str">
        <f t="shared" si="0"/>
        <v/>
      </c>
      <c r="T19" t="str">
        <f t="shared" si="0"/>
        <v/>
      </c>
      <c r="U19" t="str">
        <f t="shared" si="0"/>
        <v/>
      </c>
      <c r="V19" t="str">
        <f t="shared" si="0"/>
        <v/>
      </c>
      <c r="W19" t="str">
        <f t="shared" si="0"/>
        <v/>
      </c>
      <c r="X19" t="str">
        <f t="shared" si="0"/>
        <v/>
      </c>
      <c r="Y19" t="str">
        <f t="shared" si="0"/>
        <v/>
      </c>
      <c r="Z19" t="str">
        <f t="shared" si="1"/>
        <v/>
      </c>
      <c r="AA19" t="str">
        <f t="shared" si="1"/>
        <v/>
      </c>
      <c r="AB19" t="str">
        <f t="shared" si="1"/>
        <v/>
      </c>
      <c r="AC19" t="str">
        <f t="shared" si="1"/>
        <v/>
      </c>
      <c r="AD19" t="str">
        <f t="shared" si="1"/>
        <v/>
      </c>
      <c r="AE19" t="str">
        <f t="shared" si="1"/>
        <v/>
      </c>
      <c r="AF19" t="str">
        <f t="shared" si="1"/>
        <v/>
      </c>
      <c r="AG19" t="str">
        <f t="shared" si="1"/>
        <v/>
      </c>
      <c r="AH19" t="str">
        <f t="shared" si="1"/>
        <v/>
      </c>
      <c r="AI19" t="str">
        <f t="shared" si="1"/>
        <v/>
      </c>
      <c r="AJ19" t="str">
        <f t="shared" si="2"/>
        <v/>
      </c>
      <c r="AK19" t="str">
        <f t="shared" si="2"/>
        <v/>
      </c>
      <c r="AL19" t="str">
        <f t="shared" si="2"/>
        <v/>
      </c>
      <c r="AM19" t="str">
        <f t="shared" si="2"/>
        <v/>
      </c>
      <c r="AN19" t="str">
        <f t="shared" si="2"/>
        <v/>
      </c>
      <c r="AO19" t="str">
        <f t="shared" si="2"/>
        <v/>
      </c>
      <c r="AP19" t="str">
        <f t="shared" si="2"/>
        <v/>
      </c>
      <c r="AQ19" t="str">
        <f t="shared" si="2"/>
        <v/>
      </c>
      <c r="AR19" t="str">
        <f t="shared" si="2"/>
        <v/>
      </c>
      <c r="AS19" t="str">
        <f t="shared" si="2"/>
        <v/>
      </c>
      <c r="AT19" t="str">
        <f t="shared" si="3"/>
        <v/>
      </c>
      <c r="AU19" t="str">
        <f t="shared" si="3"/>
        <v/>
      </c>
      <c r="AV19" t="str">
        <f t="shared" si="3"/>
        <v/>
      </c>
      <c r="AW19" t="str">
        <f t="shared" si="3"/>
        <v/>
      </c>
      <c r="AX19" t="str">
        <f t="shared" si="3"/>
        <v/>
      </c>
      <c r="AY19" t="str">
        <f t="shared" si="3"/>
        <v/>
      </c>
      <c r="AZ19" t="str">
        <f t="shared" si="3"/>
        <v>■</v>
      </c>
      <c r="BA19" t="str">
        <f t="shared" si="3"/>
        <v>■</v>
      </c>
      <c r="BB19" t="str">
        <f t="shared" si="3"/>
        <v>■</v>
      </c>
      <c r="BC19" t="str">
        <f t="shared" si="3"/>
        <v>■</v>
      </c>
      <c r="BD19" t="str">
        <f t="shared" si="4"/>
        <v>■</v>
      </c>
      <c r="BE19" t="str">
        <f t="shared" si="4"/>
        <v>■</v>
      </c>
      <c r="BF19" t="str">
        <f t="shared" si="4"/>
        <v>■</v>
      </c>
      <c r="BG19" t="str">
        <f t="shared" si="4"/>
        <v>■</v>
      </c>
      <c r="BH19" t="str">
        <f t="shared" si="4"/>
        <v>■</v>
      </c>
      <c r="BI19" t="str">
        <f t="shared" si="4"/>
        <v>■</v>
      </c>
      <c r="BJ19" t="str">
        <f t="shared" si="4"/>
        <v>■</v>
      </c>
      <c r="BK19" t="str">
        <f t="shared" si="4"/>
        <v>■</v>
      </c>
      <c r="BL19" t="str">
        <f t="shared" si="4"/>
        <v>■</v>
      </c>
      <c r="BM19" t="str">
        <f t="shared" si="4"/>
        <v>■</v>
      </c>
      <c r="BN19" t="str">
        <f t="shared" si="5"/>
        <v>■</v>
      </c>
      <c r="BO19" t="str">
        <f t="shared" si="5"/>
        <v>■</v>
      </c>
      <c r="BP19" t="str">
        <f t="shared" si="5"/>
        <v>■</v>
      </c>
      <c r="BQ19" t="str">
        <f t="shared" si="5"/>
        <v>■</v>
      </c>
      <c r="BR19" t="str">
        <f t="shared" si="5"/>
        <v>■</v>
      </c>
      <c r="BS19" t="str">
        <f t="shared" si="5"/>
        <v>■</v>
      </c>
      <c r="BT19" t="str">
        <f t="shared" si="5"/>
        <v>■</v>
      </c>
      <c r="BU19" t="str">
        <f t="shared" si="5"/>
        <v>■</v>
      </c>
      <c r="BV19" t="str">
        <f t="shared" si="5"/>
        <v>■</v>
      </c>
      <c r="BW19" t="str">
        <f t="shared" si="5"/>
        <v>■</v>
      </c>
    </row>
    <row r="20" spans="1:75" x14ac:dyDescent="0.25">
      <c r="A20" t="s">
        <v>58</v>
      </c>
      <c r="J20">
        <f>SUMIFS('Suivi Temps'!$D:$D,'Suivi Temps'!$A:$A,"P001-010")</f>
        <v>0</v>
      </c>
      <c r="P20" t="str">
        <f t="shared" si="0"/>
        <v/>
      </c>
      <c r="Q20" t="str">
        <f t="shared" si="0"/>
        <v/>
      </c>
      <c r="R20" t="str">
        <f t="shared" si="0"/>
        <v/>
      </c>
      <c r="S20" t="str">
        <f t="shared" si="0"/>
        <v/>
      </c>
      <c r="T20" t="str">
        <f t="shared" si="0"/>
        <v/>
      </c>
      <c r="U20" t="str">
        <f t="shared" si="0"/>
        <v/>
      </c>
      <c r="V20" t="str">
        <f t="shared" si="0"/>
        <v/>
      </c>
      <c r="W20" t="str">
        <f t="shared" si="0"/>
        <v/>
      </c>
      <c r="X20" t="str">
        <f t="shared" si="0"/>
        <v/>
      </c>
      <c r="Y20" t="str">
        <f t="shared" si="0"/>
        <v/>
      </c>
      <c r="Z20" t="str">
        <f t="shared" si="1"/>
        <v/>
      </c>
      <c r="AA20" t="str">
        <f t="shared" si="1"/>
        <v/>
      </c>
      <c r="AB20" t="str">
        <f t="shared" si="1"/>
        <v/>
      </c>
      <c r="AC20" t="str">
        <f t="shared" si="1"/>
        <v/>
      </c>
      <c r="AD20" t="str">
        <f t="shared" si="1"/>
        <v/>
      </c>
      <c r="AE20" t="str">
        <f t="shared" si="1"/>
        <v/>
      </c>
      <c r="AF20" t="str">
        <f t="shared" si="1"/>
        <v/>
      </c>
      <c r="AG20" t="str">
        <f t="shared" si="1"/>
        <v/>
      </c>
      <c r="AH20" t="str">
        <f t="shared" si="1"/>
        <v/>
      </c>
      <c r="AI20" t="str">
        <f t="shared" si="1"/>
        <v/>
      </c>
      <c r="AJ20" t="str">
        <f t="shared" si="2"/>
        <v/>
      </c>
      <c r="AK20" t="str">
        <f t="shared" si="2"/>
        <v/>
      </c>
      <c r="AL20" t="str">
        <f t="shared" si="2"/>
        <v/>
      </c>
      <c r="AM20" t="str">
        <f t="shared" si="2"/>
        <v/>
      </c>
      <c r="AN20" t="str">
        <f t="shared" si="2"/>
        <v/>
      </c>
      <c r="AO20" t="str">
        <f t="shared" si="2"/>
        <v/>
      </c>
      <c r="AP20" t="str">
        <f t="shared" si="2"/>
        <v/>
      </c>
      <c r="AQ20" t="str">
        <f t="shared" si="2"/>
        <v/>
      </c>
      <c r="AR20" t="str">
        <f t="shared" si="2"/>
        <v/>
      </c>
      <c r="AS20" t="str">
        <f t="shared" si="2"/>
        <v/>
      </c>
      <c r="AT20" t="str">
        <f t="shared" si="3"/>
        <v/>
      </c>
      <c r="AU20" t="str">
        <f t="shared" si="3"/>
        <v/>
      </c>
      <c r="AV20" t="str">
        <f t="shared" si="3"/>
        <v/>
      </c>
      <c r="AW20" t="str">
        <f t="shared" si="3"/>
        <v/>
      </c>
      <c r="AX20" t="str">
        <f t="shared" si="3"/>
        <v/>
      </c>
      <c r="AY20" t="str">
        <f t="shared" si="3"/>
        <v/>
      </c>
      <c r="AZ20" t="str">
        <f t="shared" si="3"/>
        <v/>
      </c>
      <c r="BA20" t="str">
        <f t="shared" si="3"/>
        <v/>
      </c>
      <c r="BB20" t="str">
        <f t="shared" si="3"/>
        <v/>
      </c>
      <c r="BC20" t="str">
        <f t="shared" si="3"/>
        <v/>
      </c>
      <c r="BD20" t="str">
        <f t="shared" si="4"/>
        <v/>
      </c>
      <c r="BE20" t="str">
        <f t="shared" si="4"/>
        <v/>
      </c>
      <c r="BF20" t="str">
        <f t="shared" si="4"/>
        <v/>
      </c>
      <c r="BG20" t="str">
        <f t="shared" si="4"/>
        <v/>
      </c>
      <c r="BH20" t="str">
        <f t="shared" si="4"/>
        <v/>
      </c>
      <c r="BI20" t="str">
        <f t="shared" si="4"/>
        <v/>
      </c>
      <c r="BJ20" t="str">
        <f t="shared" si="4"/>
        <v/>
      </c>
      <c r="BK20" t="str">
        <f t="shared" si="4"/>
        <v/>
      </c>
      <c r="BL20" t="str">
        <f t="shared" si="4"/>
        <v/>
      </c>
      <c r="BM20" t="str">
        <f t="shared" si="4"/>
        <v/>
      </c>
      <c r="BN20" t="str">
        <f t="shared" si="5"/>
        <v/>
      </c>
      <c r="BO20" t="str">
        <f t="shared" si="5"/>
        <v/>
      </c>
      <c r="BP20" t="str">
        <f t="shared" si="5"/>
        <v/>
      </c>
      <c r="BQ20" t="str">
        <f t="shared" si="5"/>
        <v/>
      </c>
      <c r="BR20" t="str">
        <f t="shared" si="5"/>
        <v/>
      </c>
      <c r="BS20" t="str">
        <f t="shared" si="5"/>
        <v/>
      </c>
      <c r="BT20" t="str">
        <f t="shared" si="5"/>
        <v/>
      </c>
      <c r="BU20" t="str">
        <f t="shared" si="5"/>
        <v/>
      </c>
      <c r="BV20" t="str">
        <f t="shared" si="5"/>
        <v/>
      </c>
      <c r="BW20" t="str">
        <f t="shared" si="5"/>
        <v/>
      </c>
    </row>
    <row r="21" spans="1:75" x14ac:dyDescent="0.25">
      <c r="A21" t="s">
        <v>59</v>
      </c>
      <c r="J21">
        <f>SUMIFS('Suivi Temps'!$D:$D,'Suivi Temps'!$A:$A,"P001-011")</f>
        <v>0</v>
      </c>
      <c r="P21" t="str">
        <f t="shared" ref="P21:Y30" si="6">IF(AND($E21&lt;&gt;"",$F21&lt;&gt;"",P$9&gt;=$E21,P$9&lt;=$F21),"■","")</f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ref="Z21:AI30" si="7">IF(AND($E21&lt;&gt;"",$F21&lt;&gt;"",Z$9&gt;=$E21,Z$9&lt;=$F21),"■","")</f>
        <v/>
      </c>
      <c r="AA21" t="str">
        <f t="shared" si="7"/>
        <v/>
      </c>
      <c r="AB21" t="str">
        <f t="shared" si="7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ref="AJ21:AS30" si="8">IF(AND($E21&lt;&gt;"",$F21&lt;&gt;"",AJ$9&gt;=$E21,AJ$9&lt;=$F21),"■","")</f>
        <v/>
      </c>
      <c r="AK21" t="str">
        <f t="shared" si="8"/>
        <v/>
      </c>
      <c r="AL21" t="str">
        <f t="shared" si="8"/>
        <v/>
      </c>
      <c r="AM21" t="str">
        <f t="shared" si="8"/>
        <v/>
      </c>
      <c r="AN21" t="str">
        <f t="shared" si="8"/>
        <v/>
      </c>
      <c r="AO21" t="str">
        <f t="shared" si="8"/>
        <v/>
      </c>
      <c r="AP21" t="str">
        <f t="shared" si="8"/>
        <v/>
      </c>
      <c r="AQ21" t="str">
        <f t="shared" si="8"/>
        <v/>
      </c>
      <c r="AR21" t="str">
        <f t="shared" si="8"/>
        <v/>
      </c>
      <c r="AS21" t="str">
        <f t="shared" si="8"/>
        <v/>
      </c>
      <c r="AT21" t="str">
        <f t="shared" ref="AT21:BC30" si="9">IF(AND($E21&lt;&gt;"",$F21&lt;&gt;"",AT$9&gt;=$E21,AT$9&lt;=$F21),"■","")</f>
        <v/>
      </c>
      <c r="AU21" t="str">
        <f t="shared" si="9"/>
        <v/>
      </c>
      <c r="AV21" t="str">
        <f t="shared" si="9"/>
        <v/>
      </c>
      <c r="AW21" t="str">
        <f t="shared" si="9"/>
        <v/>
      </c>
      <c r="AX21" t="str">
        <f t="shared" si="9"/>
        <v/>
      </c>
      <c r="AY21" t="str">
        <f t="shared" si="9"/>
        <v/>
      </c>
      <c r="AZ21" t="str">
        <f t="shared" si="9"/>
        <v/>
      </c>
      <c r="BA21" t="str">
        <f t="shared" si="9"/>
        <v/>
      </c>
      <c r="BB21" t="str">
        <f t="shared" si="9"/>
        <v/>
      </c>
      <c r="BC21" t="str">
        <f t="shared" si="9"/>
        <v/>
      </c>
      <c r="BD21" t="str">
        <f t="shared" ref="BD21:BM30" si="10">IF(AND($E21&lt;&gt;"",$F21&lt;&gt;"",BD$9&gt;=$E21,BD$9&lt;=$F21),"■","")</f>
        <v/>
      </c>
      <c r="BE21" t="str">
        <f t="shared" si="10"/>
        <v/>
      </c>
      <c r="BF21" t="str">
        <f t="shared" si="10"/>
        <v/>
      </c>
      <c r="BG21" t="str">
        <f t="shared" si="10"/>
        <v/>
      </c>
      <c r="BH21" t="str">
        <f t="shared" si="10"/>
        <v/>
      </c>
      <c r="BI21" t="str">
        <f t="shared" si="10"/>
        <v/>
      </c>
      <c r="BJ21" t="str">
        <f t="shared" si="10"/>
        <v/>
      </c>
      <c r="BK21" t="str">
        <f t="shared" si="10"/>
        <v/>
      </c>
      <c r="BL21" t="str">
        <f t="shared" si="10"/>
        <v/>
      </c>
      <c r="BM21" t="str">
        <f t="shared" si="10"/>
        <v/>
      </c>
      <c r="BN21" t="str">
        <f t="shared" ref="BN21:BW30" si="11">IF(AND($E21&lt;&gt;"",$F21&lt;&gt;"",BN$9&gt;=$E21,BN$9&lt;=$F21),"■","")</f>
        <v/>
      </c>
      <c r="BO21" t="str">
        <f t="shared" si="11"/>
        <v/>
      </c>
      <c r="BP21" t="str">
        <f t="shared" si="11"/>
        <v/>
      </c>
      <c r="BQ21" t="str">
        <f t="shared" si="11"/>
        <v/>
      </c>
      <c r="BR21" t="str">
        <f t="shared" si="11"/>
        <v/>
      </c>
      <c r="BS21" t="str">
        <f t="shared" si="11"/>
        <v/>
      </c>
      <c r="BT21" t="str">
        <f t="shared" si="11"/>
        <v/>
      </c>
      <c r="BU21" t="str">
        <f t="shared" si="11"/>
        <v/>
      </c>
      <c r="BV21" t="str">
        <f t="shared" si="11"/>
        <v/>
      </c>
      <c r="BW21" t="str">
        <f t="shared" si="11"/>
        <v/>
      </c>
    </row>
    <row r="22" spans="1:75" x14ac:dyDescent="0.25">
      <c r="A22" t="s">
        <v>60</v>
      </c>
      <c r="J22">
        <f>SUMIFS('Suivi Temps'!$D:$D,'Suivi Temps'!$A:$A,"P001-012")</f>
        <v>0</v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7"/>
        <v/>
      </c>
      <c r="AA22" t="str">
        <f t="shared" si="7"/>
        <v/>
      </c>
      <c r="AB22" t="str">
        <f t="shared" si="7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8"/>
        <v/>
      </c>
      <c r="AK22" t="str">
        <f t="shared" si="8"/>
        <v/>
      </c>
      <c r="AL22" t="str">
        <f t="shared" si="8"/>
        <v/>
      </c>
      <c r="AM22" t="str">
        <f t="shared" si="8"/>
        <v/>
      </c>
      <c r="AN22" t="str">
        <f t="shared" si="8"/>
        <v/>
      </c>
      <c r="AO22" t="str">
        <f t="shared" si="8"/>
        <v/>
      </c>
      <c r="AP22" t="str">
        <f t="shared" si="8"/>
        <v/>
      </c>
      <c r="AQ22" t="str">
        <f t="shared" si="8"/>
        <v/>
      </c>
      <c r="AR22" t="str">
        <f t="shared" si="8"/>
        <v/>
      </c>
      <c r="AS22" t="str">
        <f t="shared" si="8"/>
        <v/>
      </c>
      <c r="AT22" t="str">
        <f t="shared" si="9"/>
        <v/>
      </c>
      <c r="AU22" t="str">
        <f t="shared" si="9"/>
        <v/>
      </c>
      <c r="AV22" t="str">
        <f t="shared" si="9"/>
        <v/>
      </c>
      <c r="AW22" t="str">
        <f t="shared" si="9"/>
        <v/>
      </c>
      <c r="AX22" t="str">
        <f t="shared" si="9"/>
        <v/>
      </c>
      <c r="AY22" t="str">
        <f t="shared" si="9"/>
        <v/>
      </c>
      <c r="AZ22" t="str">
        <f t="shared" si="9"/>
        <v/>
      </c>
      <c r="BA22" t="str">
        <f t="shared" si="9"/>
        <v/>
      </c>
      <c r="BB22" t="str">
        <f t="shared" si="9"/>
        <v/>
      </c>
      <c r="BC22" t="str">
        <f t="shared" si="9"/>
        <v/>
      </c>
      <c r="BD22" t="str">
        <f t="shared" si="10"/>
        <v/>
      </c>
      <c r="BE22" t="str">
        <f t="shared" si="10"/>
        <v/>
      </c>
      <c r="BF22" t="str">
        <f t="shared" si="10"/>
        <v/>
      </c>
      <c r="BG22" t="str">
        <f t="shared" si="10"/>
        <v/>
      </c>
      <c r="BH22" t="str">
        <f t="shared" si="10"/>
        <v/>
      </c>
      <c r="BI22" t="str">
        <f t="shared" si="10"/>
        <v/>
      </c>
      <c r="BJ22" t="str">
        <f t="shared" si="10"/>
        <v/>
      </c>
      <c r="BK22" t="str">
        <f t="shared" si="10"/>
        <v/>
      </c>
      <c r="BL22" t="str">
        <f t="shared" si="10"/>
        <v/>
      </c>
      <c r="BM22" t="str">
        <f t="shared" si="10"/>
        <v/>
      </c>
      <c r="BN22" t="str">
        <f t="shared" si="11"/>
        <v/>
      </c>
      <c r="BO22" t="str">
        <f t="shared" si="11"/>
        <v/>
      </c>
      <c r="BP22" t="str">
        <f t="shared" si="11"/>
        <v/>
      </c>
      <c r="BQ22" t="str">
        <f t="shared" si="11"/>
        <v/>
      </c>
      <c r="BR22" t="str">
        <f t="shared" si="11"/>
        <v/>
      </c>
      <c r="BS22" t="str">
        <f t="shared" si="11"/>
        <v/>
      </c>
      <c r="BT22" t="str">
        <f t="shared" si="11"/>
        <v/>
      </c>
      <c r="BU22" t="str">
        <f t="shared" si="11"/>
        <v/>
      </c>
      <c r="BV22" t="str">
        <f t="shared" si="11"/>
        <v/>
      </c>
      <c r="BW22" t="str">
        <f t="shared" si="11"/>
        <v/>
      </c>
    </row>
    <row r="23" spans="1:75" x14ac:dyDescent="0.25">
      <c r="A23" t="s">
        <v>61</v>
      </c>
      <c r="J23">
        <f>SUMIFS('Suivi Temps'!$D:$D,'Suivi Temps'!$A:$A,"P001-013")</f>
        <v>0</v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7"/>
        <v/>
      </c>
      <c r="AA23" t="str">
        <f t="shared" si="7"/>
        <v/>
      </c>
      <c r="AB23" t="str">
        <f t="shared" si="7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8"/>
        <v/>
      </c>
      <c r="AK23" t="str">
        <f t="shared" si="8"/>
        <v/>
      </c>
      <c r="AL23" t="str">
        <f t="shared" si="8"/>
        <v/>
      </c>
      <c r="AM23" t="str">
        <f t="shared" si="8"/>
        <v/>
      </c>
      <c r="AN23" t="str">
        <f t="shared" si="8"/>
        <v/>
      </c>
      <c r="AO23" t="str">
        <f t="shared" si="8"/>
        <v/>
      </c>
      <c r="AP23" t="str">
        <f t="shared" si="8"/>
        <v/>
      </c>
      <c r="AQ23" t="str">
        <f t="shared" si="8"/>
        <v/>
      </c>
      <c r="AR23" t="str">
        <f t="shared" si="8"/>
        <v/>
      </c>
      <c r="AS23" t="str">
        <f t="shared" si="8"/>
        <v/>
      </c>
      <c r="AT23" t="str">
        <f t="shared" si="9"/>
        <v/>
      </c>
      <c r="AU23" t="str">
        <f t="shared" si="9"/>
        <v/>
      </c>
      <c r="AV23" t="str">
        <f t="shared" si="9"/>
        <v/>
      </c>
      <c r="AW23" t="str">
        <f t="shared" si="9"/>
        <v/>
      </c>
      <c r="AX23" t="str">
        <f t="shared" si="9"/>
        <v/>
      </c>
      <c r="AY23" t="str">
        <f t="shared" si="9"/>
        <v/>
      </c>
      <c r="AZ23" t="str">
        <f t="shared" si="9"/>
        <v/>
      </c>
      <c r="BA23" t="str">
        <f t="shared" si="9"/>
        <v/>
      </c>
      <c r="BB23" t="str">
        <f t="shared" si="9"/>
        <v/>
      </c>
      <c r="BC23" t="str">
        <f t="shared" si="9"/>
        <v/>
      </c>
      <c r="BD23" t="str">
        <f t="shared" si="10"/>
        <v/>
      </c>
      <c r="BE23" t="str">
        <f t="shared" si="10"/>
        <v/>
      </c>
      <c r="BF23" t="str">
        <f t="shared" si="10"/>
        <v/>
      </c>
      <c r="BG23" t="str">
        <f t="shared" si="10"/>
        <v/>
      </c>
      <c r="BH23" t="str">
        <f t="shared" si="10"/>
        <v/>
      </c>
      <c r="BI23" t="str">
        <f t="shared" si="10"/>
        <v/>
      </c>
      <c r="BJ23" t="str">
        <f t="shared" si="10"/>
        <v/>
      </c>
      <c r="BK23" t="str">
        <f t="shared" si="10"/>
        <v/>
      </c>
      <c r="BL23" t="str">
        <f t="shared" si="10"/>
        <v/>
      </c>
      <c r="BM23" t="str">
        <f t="shared" si="10"/>
        <v/>
      </c>
      <c r="BN23" t="str">
        <f t="shared" si="11"/>
        <v/>
      </c>
      <c r="BO23" t="str">
        <f t="shared" si="11"/>
        <v/>
      </c>
      <c r="BP23" t="str">
        <f t="shared" si="11"/>
        <v/>
      </c>
      <c r="BQ23" t="str">
        <f t="shared" si="11"/>
        <v/>
      </c>
      <c r="BR23" t="str">
        <f t="shared" si="11"/>
        <v/>
      </c>
      <c r="BS23" t="str">
        <f t="shared" si="11"/>
        <v/>
      </c>
      <c r="BT23" t="str">
        <f t="shared" si="11"/>
        <v/>
      </c>
      <c r="BU23" t="str">
        <f t="shared" si="11"/>
        <v/>
      </c>
      <c r="BV23" t="str">
        <f t="shared" si="11"/>
        <v/>
      </c>
      <c r="BW23" t="str">
        <f t="shared" si="11"/>
        <v/>
      </c>
    </row>
    <row r="24" spans="1:75" x14ac:dyDescent="0.25">
      <c r="A24" t="s">
        <v>62</v>
      </c>
      <c r="J24">
        <f>SUMIFS('Suivi Temps'!$D:$D,'Suivi Temps'!$A:$A,"P001-014")</f>
        <v>0</v>
      </c>
      <c r="P24" t="str">
        <f t="shared" si="6"/>
        <v/>
      </c>
      <c r="Q24" t="str">
        <f t="shared" si="6"/>
        <v/>
      </c>
      <c r="R24" t="str">
        <f t="shared" si="6"/>
        <v/>
      </c>
      <c r="S24" t="str">
        <f t="shared" si="6"/>
        <v/>
      </c>
      <c r="T24" t="str">
        <f t="shared" si="6"/>
        <v/>
      </c>
      <c r="U24" t="str">
        <f t="shared" si="6"/>
        <v/>
      </c>
      <c r="V24" t="str">
        <f t="shared" si="6"/>
        <v/>
      </c>
      <c r="W24" t="str">
        <f t="shared" si="6"/>
        <v/>
      </c>
      <c r="X24" t="str">
        <f t="shared" si="6"/>
        <v/>
      </c>
      <c r="Y24" t="str">
        <f t="shared" si="6"/>
        <v/>
      </c>
      <c r="Z24" t="str">
        <f t="shared" si="7"/>
        <v/>
      </c>
      <c r="AA24" t="str">
        <f t="shared" si="7"/>
        <v/>
      </c>
      <c r="AB24" t="str">
        <f t="shared" si="7"/>
        <v/>
      </c>
      <c r="AC24" t="str">
        <f t="shared" si="7"/>
        <v/>
      </c>
      <c r="AD24" t="str">
        <f t="shared" si="7"/>
        <v/>
      </c>
      <c r="AE24" t="str">
        <f t="shared" si="7"/>
        <v/>
      </c>
      <c r="AF24" t="str">
        <f t="shared" si="7"/>
        <v/>
      </c>
      <c r="AG24" t="str">
        <f t="shared" si="7"/>
        <v/>
      </c>
      <c r="AH24" t="str">
        <f t="shared" si="7"/>
        <v/>
      </c>
      <c r="AI24" t="str">
        <f t="shared" si="7"/>
        <v/>
      </c>
      <c r="AJ24" t="str">
        <f t="shared" si="8"/>
        <v/>
      </c>
      <c r="AK24" t="str">
        <f t="shared" si="8"/>
        <v/>
      </c>
      <c r="AL24" t="str">
        <f t="shared" si="8"/>
        <v/>
      </c>
      <c r="AM24" t="str">
        <f t="shared" si="8"/>
        <v/>
      </c>
      <c r="AN24" t="str">
        <f t="shared" si="8"/>
        <v/>
      </c>
      <c r="AO24" t="str">
        <f t="shared" si="8"/>
        <v/>
      </c>
      <c r="AP24" t="str">
        <f t="shared" si="8"/>
        <v/>
      </c>
      <c r="AQ24" t="str">
        <f t="shared" si="8"/>
        <v/>
      </c>
      <c r="AR24" t="str">
        <f t="shared" si="8"/>
        <v/>
      </c>
      <c r="AS24" t="str">
        <f t="shared" si="8"/>
        <v/>
      </c>
      <c r="AT24" t="str">
        <f t="shared" si="9"/>
        <v/>
      </c>
      <c r="AU24" t="str">
        <f t="shared" si="9"/>
        <v/>
      </c>
      <c r="AV24" t="str">
        <f t="shared" si="9"/>
        <v/>
      </c>
      <c r="AW24" t="str">
        <f t="shared" si="9"/>
        <v/>
      </c>
      <c r="AX24" t="str">
        <f t="shared" si="9"/>
        <v/>
      </c>
      <c r="AY24" t="str">
        <f t="shared" si="9"/>
        <v/>
      </c>
      <c r="AZ24" t="str">
        <f t="shared" si="9"/>
        <v/>
      </c>
      <c r="BA24" t="str">
        <f t="shared" si="9"/>
        <v/>
      </c>
      <c r="BB24" t="str">
        <f t="shared" si="9"/>
        <v/>
      </c>
      <c r="BC24" t="str">
        <f t="shared" si="9"/>
        <v/>
      </c>
      <c r="BD24" t="str">
        <f t="shared" si="10"/>
        <v/>
      </c>
      <c r="BE24" t="str">
        <f t="shared" si="10"/>
        <v/>
      </c>
      <c r="BF24" t="str">
        <f t="shared" si="10"/>
        <v/>
      </c>
      <c r="BG24" t="str">
        <f t="shared" si="10"/>
        <v/>
      </c>
      <c r="BH24" t="str">
        <f t="shared" si="10"/>
        <v/>
      </c>
      <c r="BI24" t="str">
        <f t="shared" si="10"/>
        <v/>
      </c>
      <c r="BJ24" t="str">
        <f t="shared" si="10"/>
        <v/>
      </c>
      <c r="BK24" t="str">
        <f t="shared" si="10"/>
        <v/>
      </c>
      <c r="BL24" t="str">
        <f t="shared" si="10"/>
        <v/>
      </c>
      <c r="BM24" t="str">
        <f t="shared" si="10"/>
        <v/>
      </c>
      <c r="BN24" t="str">
        <f t="shared" si="11"/>
        <v/>
      </c>
      <c r="BO24" t="str">
        <f t="shared" si="11"/>
        <v/>
      </c>
      <c r="BP24" t="str">
        <f t="shared" si="11"/>
        <v/>
      </c>
      <c r="BQ24" t="str">
        <f t="shared" si="11"/>
        <v/>
      </c>
      <c r="BR24" t="str">
        <f t="shared" si="11"/>
        <v/>
      </c>
      <c r="BS24" t="str">
        <f t="shared" si="11"/>
        <v/>
      </c>
      <c r="BT24" t="str">
        <f t="shared" si="11"/>
        <v/>
      </c>
      <c r="BU24" t="str">
        <f t="shared" si="11"/>
        <v/>
      </c>
      <c r="BV24" t="str">
        <f t="shared" si="11"/>
        <v/>
      </c>
      <c r="BW24" t="str">
        <f t="shared" si="11"/>
        <v/>
      </c>
    </row>
    <row r="25" spans="1:75" x14ac:dyDescent="0.25">
      <c r="A25" t="s">
        <v>63</v>
      </c>
      <c r="J25">
        <f>SUMIFS('Suivi Temps'!$D:$D,'Suivi Temps'!$A:$A,"P001-015")</f>
        <v>0</v>
      </c>
      <c r="P25" t="str">
        <f t="shared" si="6"/>
        <v/>
      </c>
      <c r="Q25" t="str">
        <f t="shared" si="6"/>
        <v/>
      </c>
      <c r="R25" t="str">
        <f t="shared" si="6"/>
        <v/>
      </c>
      <c r="S25" t="str">
        <f t="shared" si="6"/>
        <v/>
      </c>
      <c r="T25" t="str">
        <f t="shared" si="6"/>
        <v/>
      </c>
      <c r="U25" t="str">
        <f t="shared" si="6"/>
        <v/>
      </c>
      <c r="V25" t="str">
        <f t="shared" si="6"/>
        <v/>
      </c>
      <c r="W25" t="str">
        <f t="shared" si="6"/>
        <v/>
      </c>
      <c r="X25" t="str">
        <f t="shared" si="6"/>
        <v/>
      </c>
      <c r="Y25" t="str">
        <f t="shared" si="6"/>
        <v/>
      </c>
      <c r="Z25" t="str">
        <f t="shared" si="7"/>
        <v/>
      </c>
      <c r="AA25" t="str">
        <f t="shared" si="7"/>
        <v/>
      </c>
      <c r="AB25" t="str">
        <f t="shared" si="7"/>
        <v/>
      </c>
      <c r="AC25" t="str">
        <f t="shared" si="7"/>
        <v/>
      </c>
      <c r="AD25" t="str">
        <f t="shared" si="7"/>
        <v/>
      </c>
      <c r="AE25" t="str">
        <f t="shared" si="7"/>
        <v/>
      </c>
      <c r="AF25" t="str">
        <f t="shared" si="7"/>
        <v/>
      </c>
      <c r="AG25" t="str">
        <f t="shared" si="7"/>
        <v/>
      </c>
      <c r="AH25" t="str">
        <f t="shared" si="7"/>
        <v/>
      </c>
      <c r="AI25" t="str">
        <f t="shared" si="7"/>
        <v/>
      </c>
      <c r="AJ25" t="str">
        <f t="shared" si="8"/>
        <v/>
      </c>
      <c r="AK25" t="str">
        <f t="shared" si="8"/>
        <v/>
      </c>
      <c r="AL25" t="str">
        <f t="shared" si="8"/>
        <v/>
      </c>
      <c r="AM25" t="str">
        <f t="shared" si="8"/>
        <v/>
      </c>
      <c r="AN25" t="str">
        <f t="shared" si="8"/>
        <v/>
      </c>
      <c r="AO25" t="str">
        <f t="shared" si="8"/>
        <v/>
      </c>
      <c r="AP25" t="str">
        <f t="shared" si="8"/>
        <v/>
      </c>
      <c r="AQ25" t="str">
        <f t="shared" si="8"/>
        <v/>
      </c>
      <c r="AR25" t="str">
        <f t="shared" si="8"/>
        <v/>
      </c>
      <c r="AS25" t="str">
        <f t="shared" si="8"/>
        <v/>
      </c>
      <c r="AT25" t="str">
        <f t="shared" si="9"/>
        <v/>
      </c>
      <c r="AU25" t="str">
        <f t="shared" si="9"/>
        <v/>
      </c>
      <c r="AV25" t="str">
        <f t="shared" si="9"/>
        <v/>
      </c>
      <c r="AW25" t="str">
        <f t="shared" si="9"/>
        <v/>
      </c>
      <c r="AX25" t="str">
        <f t="shared" si="9"/>
        <v/>
      </c>
      <c r="AY25" t="str">
        <f t="shared" si="9"/>
        <v/>
      </c>
      <c r="AZ25" t="str">
        <f t="shared" si="9"/>
        <v/>
      </c>
      <c r="BA25" t="str">
        <f t="shared" si="9"/>
        <v/>
      </c>
      <c r="BB25" t="str">
        <f t="shared" si="9"/>
        <v/>
      </c>
      <c r="BC25" t="str">
        <f t="shared" si="9"/>
        <v/>
      </c>
      <c r="BD25" t="str">
        <f t="shared" si="10"/>
        <v/>
      </c>
      <c r="BE25" t="str">
        <f t="shared" si="10"/>
        <v/>
      </c>
      <c r="BF25" t="str">
        <f t="shared" si="10"/>
        <v/>
      </c>
      <c r="BG25" t="str">
        <f t="shared" si="10"/>
        <v/>
      </c>
      <c r="BH25" t="str">
        <f t="shared" si="10"/>
        <v/>
      </c>
      <c r="BI25" t="str">
        <f t="shared" si="10"/>
        <v/>
      </c>
      <c r="BJ25" t="str">
        <f t="shared" si="10"/>
        <v/>
      </c>
      <c r="BK25" t="str">
        <f t="shared" si="10"/>
        <v/>
      </c>
      <c r="BL25" t="str">
        <f t="shared" si="10"/>
        <v/>
      </c>
      <c r="BM25" t="str">
        <f t="shared" si="10"/>
        <v/>
      </c>
      <c r="BN25" t="str">
        <f t="shared" si="11"/>
        <v/>
      </c>
      <c r="BO25" t="str">
        <f t="shared" si="11"/>
        <v/>
      </c>
      <c r="BP25" t="str">
        <f t="shared" si="11"/>
        <v/>
      </c>
      <c r="BQ25" t="str">
        <f t="shared" si="11"/>
        <v/>
      </c>
      <c r="BR25" t="str">
        <f t="shared" si="11"/>
        <v/>
      </c>
      <c r="BS25" t="str">
        <f t="shared" si="11"/>
        <v/>
      </c>
      <c r="BT25" t="str">
        <f t="shared" si="11"/>
        <v/>
      </c>
      <c r="BU25" t="str">
        <f t="shared" si="11"/>
        <v/>
      </c>
      <c r="BV25" t="str">
        <f t="shared" si="11"/>
        <v/>
      </c>
      <c r="BW25" t="str">
        <f t="shared" si="11"/>
        <v/>
      </c>
    </row>
    <row r="26" spans="1:75" x14ac:dyDescent="0.25">
      <c r="A26" t="s">
        <v>64</v>
      </c>
      <c r="J26">
        <f>SUMIFS('Suivi Temps'!$D:$D,'Suivi Temps'!$A:$A,"P001-016")</f>
        <v>0</v>
      </c>
      <c r="P26" t="str">
        <f t="shared" si="6"/>
        <v/>
      </c>
      <c r="Q26" t="str">
        <f t="shared" si="6"/>
        <v/>
      </c>
      <c r="R26" t="str">
        <f t="shared" si="6"/>
        <v/>
      </c>
      <c r="S26" t="str">
        <f t="shared" si="6"/>
        <v/>
      </c>
      <c r="T26" t="str">
        <f t="shared" si="6"/>
        <v/>
      </c>
      <c r="U26" t="str">
        <f t="shared" si="6"/>
        <v/>
      </c>
      <c r="V26" t="str">
        <f t="shared" si="6"/>
        <v/>
      </c>
      <c r="W26" t="str">
        <f t="shared" si="6"/>
        <v/>
      </c>
      <c r="X26" t="str">
        <f t="shared" si="6"/>
        <v/>
      </c>
      <c r="Y26" t="str">
        <f t="shared" si="6"/>
        <v/>
      </c>
      <c r="Z26" t="str">
        <f t="shared" si="7"/>
        <v/>
      </c>
      <c r="AA26" t="str">
        <f t="shared" si="7"/>
        <v/>
      </c>
      <c r="AB26" t="str">
        <f t="shared" si="7"/>
        <v/>
      </c>
      <c r="AC26" t="str">
        <f t="shared" si="7"/>
        <v/>
      </c>
      <c r="AD26" t="str">
        <f t="shared" si="7"/>
        <v/>
      </c>
      <c r="AE26" t="str">
        <f t="shared" si="7"/>
        <v/>
      </c>
      <c r="AF26" t="str">
        <f t="shared" si="7"/>
        <v/>
      </c>
      <c r="AG26" t="str">
        <f t="shared" si="7"/>
        <v/>
      </c>
      <c r="AH26" t="str">
        <f t="shared" si="7"/>
        <v/>
      </c>
      <c r="AI26" t="str">
        <f t="shared" si="7"/>
        <v/>
      </c>
      <c r="AJ26" t="str">
        <f t="shared" si="8"/>
        <v/>
      </c>
      <c r="AK26" t="str">
        <f t="shared" si="8"/>
        <v/>
      </c>
      <c r="AL26" t="str">
        <f t="shared" si="8"/>
        <v/>
      </c>
      <c r="AM26" t="str">
        <f t="shared" si="8"/>
        <v/>
      </c>
      <c r="AN26" t="str">
        <f t="shared" si="8"/>
        <v/>
      </c>
      <c r="AO26" t="str">
        <f t="shared" si="8"/>
        <v/>
      </c>
      <c r="AP26" t="str">
        <f t="shared" si="8"/>
        <v/>
      </c>
      <c r="AQ26" t="str">
        <f t="shared" si="8"/>
        <v/>
      </c>
      <c r="AR26" t="str">
        <f t="shared" si="8"/>
        <v/>
      </c>
      <c r="AS26" t="str">
        <f t="shared" si="8"/>
        <v/>
      </c>
      <c r="AT26" t="str">
        <f t="shared" si="9"/>
        <v/>
      </c>
      <c r="AU26" t="str">
        <f t="shared" si="9"/>
        <v/>
      </c>
      <c r="AV26" t="str">
        <f t="shared" si="9"/>
        <v/>
      </c>
      <c r="AW26" t="str">
        <f t="shared" si="9"/>
        <v/>
      </c>
      <c r="AX26" t="str">
        <f t="shared" si="9"/>
        <v/>
      </c>
      <c r="AY26" t="str">
        <f t="shared" si="9"/>
        <v/>
      </c>
      <c r="AZ26" t="str">
        <f t="shared" si="9"/>
        <v/>
      </c>
      <c r="BA26" t="str">
        <f t="shared" si="9"/>
        <v/>
      </c>
      <c r="BB26" t="str">
        <f t="shared" si="9"/>
        <v/>
      </c>
      <c r="BC26" t="str">
        <f t="shared" si="9"/>
        <v/>
      </c>
      <c r="BD26" t="str">
        <f t="shared" si="10"/>
        <v/>
      </c>
      <c r="BE26" t="str">
        <f t="shared" si="10"/>
        <v/>
      </c>
      <c r="BF26" t="str">
        <f t="shared" si="10"/>
        <v/>
      </c>
      <c r="BG26" t="str">
        <f t="shared" si="10"/>
        <v/>
      </c>
      <c r="BH26" t="str">
        <f t="shared" si="10"/>
        <v/>
      </c>
      <c r="BI26" t="str">
        <f t="shared" si="10"/>
        <v/>
      </c>
      <c r="BJ26" t="str">
        <f t="shared" si="10"/>
        <v/>
      </c>
      <c r="BK26" t="str">
        <f t="shared" si="10"/>
        <v/>
      </c>
      <c r="BL26" t="str">
        <f t="shared" si="10"/>
        <v/>
      </c>
      <c r="BM26" t="str">
        <f t="shared" si="10"/>
        <v/>
      </c>
      <c r="BN26" t="str">
        <f t="shared" si="11"/>
        <v/>
      </c>
      <c r="BO26" t="str">
        <f t="shared" si="11"/>
        <v/>
      </c>
      <c r="BP26" t="str">
        <f t="shared" si="11"/>
        <v/>
      </c>
      <c r="BQ26" t="str">
        <f t="shared" si="11"/>
        <v/>
      </c>
      <c r="BR26" t="str">
        <f t="shared" si="11"/>
        <v/>
      </c>
      <c r="BS26" t="str">
        <f t="shared" si="11"/>
        <v/>
      </c>
      <c r="BT26" t="str">
        <f t="shared" si="11"/>
        <v/>
      </c>
      <c r="BU26" t="str">
        <f t="shared" si="11"/>
        <v/>
      </c>
      <c r="BV26" t="str">
        <f t="shared" si="11"/>
        <v/>
      </c>
      <c r="BW26" t="str">
        <f t="shared" si="11"/>
        <v/>
      </c>
    </row>
    <row r="27" spans="1:75" x14ac:dyDescent="0.25">
      <c r="A27" t="s">
        <v>65</v>
      </c>
      <c r="J27">
        <f>SUMIFS('Suivi Temps'!$D:$D,'Suivi Temps'!$A:$A,"P001-017")</f>
        <v>0</v>
      </c>
      <c r="P27" t="str">
        <f t="shared" si="6"/>
        <v/>
      </c>
      <c r="Q27" t="str">
        <f t="shared" si="6"/>
        <v/>
      </c>
      <c r="R27" t="str">
        <f t="shared" si="6"/>
        <v/>
      </c>
      <c r="S27" t="str">
        <f t="shared" si="6"/>
        <v/>
      </c>
      <c r="T27" t="str">
        <f t="shared" si="6"/>
        <v/>
      </c>
      <c r="U27" t="str">
        <f t="shared" si="6"/>
        <v/>
      </c>
      <c r="V27" t="str">
        <f t="shared" si="6"/>
        <v/>
      </c>
      <c r="W27" t="str">
        <f t="shared" si="6"/>
        <v/>
      </c>
      <c r="X27" t="str">
        <f t="shared" si="6"/>
        <v/>
      </c>
      <c r="Y27" t="str">
        <f t="shared" si="6"/>
        <v/>
      </c>
      <c r="Z27" t="str">
        <f t="shared" si="7"/>
        <v/>
      </c>
      <c r="AA27" t="str">
        <f t="shared" si="7"/>
        <v/>
      </c>
      <c r="AB27" t="str">
        <f t="shared" si="7"/>
        <v/>
      </c>
      <c r="AC27" t="str">
        <f t="shared" si="7"/>
        <v/>
      </c>
      <c r="AD27" t="str">
        <f t="shared" si="7"/>
        <v/>
      </c>
      <c r="AE27" t="str">
        <f t="shared" si="7"/>
        <v/>
      </c>
      <c r="AF27" t="str">
        <f t="shared" si="7"/>
        <v/>
      </c>
      <c r="AG27" t="str">
        <f t="shared" si="7"/>
        <v/>
      </c>
      <c r="AH27" t="str">
        <f t="shared" si="7"/>
        <v/>
      </c>
      <c r="AI27" t="str">
        <f t="shared" si="7"/>
        <v/>
      </c>
      <c r="AJ27" t="str">
        <f t="shared" si="8"/>
        <v/>
      </c>
      <c r="AK27" t="str">
        <f t="shared" si="8"/>
        <v/>
      </c>
      <c r="AL27" t="str">
        <f t="shared" si="8"/>
        <v/>
      </c>
      <c r="AM27" t="str">
        <f t="shared" si="8"/>
        <v/>
      </c>
      <c r="AN27" t="str">
        <f t="shared" si="8"/>
        <v/>
      </c>
      <c r="AO27" t="str">
        <f t="shared" si="8"/>
        <v/>
      </c>
      <c r="AP27" t="str">
        <f t="shared" si="8"/>
        <v/>
      </c>
      <c r="AQ27" t="str">
        <f t="shared" si="8"/>
        <v/>
      </c>
      <c r="AR27" t="str">
        <f t="shared" si="8"/>
        <v/>
      </c>
      <c r="AS27" t="str">
        <f t="shared" si="8"/>
        <v/>
      </c>
      <c r="AT27" t="str">
        <f t="shared" si="9"/>
        <v/>
      </c>
      <c r="AU27" t="str">
        <f t="shared" si="9"/>
        <v/>
      </c>
      <c r="AV27" t="str">
        <f t="shared" si="9"/>
        <v/>
      </c>
      <c r="AW27" t="str">
        <f t="shared" si="9"/>
        <v/>
      </c>
      <c r="AX27" t="str">
        <f t="shared" si="9"/>
        <v/>
      </c>
      <c r="AY27" t="str">
        <f t="shared" si="9"/>
        <v/>
      </c>
      <c r="AZ27" t="str">
        <f t="shared" si="9"/>
        <v/>
      </c>
      <c r="BA27" t="str">
        <f t="shared" si="9"/>
        <v/>
      </c>
      <c r="BB27" t="str">
        <f t="shared" si="9"/>
        <v/>
      </c>
      <c r="BC27" t="str">
        <f t="shared" si="9"/>
        <v/>
      </c>
      <c r="BD27" t="str">
        <f t="shared" si="10"/>
        <v/>
      </c>
      <c r="BE27" t="str">
        <f t="shared" si="10"/>
        <v/>
      </c>
      <c r="BF27" t="str">
        <f t="shared" si="10"/>
        <v/>
      </c>
      <c r="BG27" t="str">
        <f t="shared" si="10"/>
        <v/>
      </c>
      <c r="BH27" t="str">
        <f t="shared" si="10"/>
        <v/>
      </c>
      <c r="BI27" t="str">
        <f t="shared" si="10"/>
        <v/>
      </c>
      <c r="BJ27" t="str">
        <f t="shared" si="10"/>
        <v/>
      </c>
      <c r="BK27" t="str">
        <f t="shared" si="10"/>
        <v/>
      </c>
      <c r="BL27" t="str">
        <f t="shared" si="10"/>
        <v/>
      </c>
      <c r="BM27" t="str">
        <f t="shared" si="10"/>
        <v/>
      </c>
      <c r="BN27" t="str">
        <f t="shared" si="11"/>
        <v/>
      </c>
      <c r="BO27" t="str">
        <f t="shared" si="11"/>
        <v/>
      </c>
      <c r="BP27" t="str">
        <f t="shared" si="11"/>
        <v/>
      </c>
      <c r="BQ27" t="str">
        <f t="shared" si="11"/>
        <v/>
      </c>
      <c r="BR27" t="str">
        <f t="shared" si="11"/>
        <v/>
      </c>
      <c r="BS27" t="str">
        <f t="shared" si="11"/>
        <v/>
      </c>
      <c r="BT27" t="str">
        <f t="shared" si="11"/>
        <v/>
      </c>
      <c r="BU27" t="str">
        <f t="shared" si="11"/>
        <v/>
      </c>
      <c r="BV27" t="str">
        <f t="shared" si="11"/>
        <v/>
      </c>
      <c r="BW27" t="str">
        <f t="shared" si="11"/>
        <v/>
      </c>
    </row>
    <row r="28" spans="1:75" x14ac:dyDescent="0.25">
      <c r="A28" t="s">
        <v>66</v>
      </c>
      <c r="J28">
        <f>SUMIFS('Suivi Temps'!$D:$D,'Suivi Temps'!$A:$A,"P001-018")</f>
        <v>0</v>
      </c>
      <c r="P28" t="str">
        <f t="shared" si="6"/>
        <v/>
      </c>
      <c r="Q28" t="str">
        <f t="shared" si="6"/>
        <v/>
      </c>
      <c r="R28" t="str">
        <f t="shared" si="6"/>
        <v/>
      </c>
      <c r="S28" t="str">
        <f t="shared" si="6"/>
        <v/>
      </c>
      <c r="T28" t="str">
        <f t="shared" si="6"/>
        <v/>
      </c>
      <c r="U28" t="str">
        <f t="shared" si="6"/>
        <v/>
      </c>
      <c r="V28" t="str">
        <f t="shared" si="6"/>
        <v/>
      </c>
      <c r="W28" t="str">
        <f t="shared" si="6"/>
        <v/>
      </c>
      <c r="X28" t="str">
        <f t="shared" si="6"/>
        <v/>
      </c>
      <c r="Y28" t="str">
        <f t="shared" si="6"/>
        <v/>
      </c>
      <c r="Z28" t="str">
        <f t="shared" si="7"/>
        <v/>
      </c>
      <c r="AA28" t="str">
        <f t="shared" si="7"/>
        <v/>
      </c>
      <c r="AB28" t="str">
        <f t="shared" si="7"/>
        <v/>
      </c>
      <c r="AC28" t="str">
        <f t="shared" si="7"/>
        <v/>
      </c>
      <c r="AD28" t="str">
        <f t="shared" si="7"/>
        <v/>
      </c>
      <c r="AE28" t="str">
        <f t="shared" si="7"/>
        <v/>
      </c>
      <c r="AF28" t="str">
        <f t="shared" si="7"/>
        <v/>
      </c>
      <c r="AG28" t="str">
        <f t="shared" si="7"/>
        <v/>
      </c>
      <c r="AH28" t="str">
        <f t="shared" si="7"/>
        <v/>
      </c>
      <c r="AI28" t="str">
        <f t="shared" si="7"/>
        <v/>
      </c>
      <c r="AJ28" t="str">
        <f t="shared" si="8"/>
        <v/>
      </c>
      <c r="AK28" t="str">
        <f t="shared" si="8"/>
        <v/>
      </c>
      <c r="AL28" t="str">
        <f t="shared" si="8"/>
        <v/>
      </c>
      <c r="AM28" t="str">
        <f t="shared" si="8"/>
        <v/>
      </c>
      <c r="AN28" t="str">
        <f t="shared" si="8"/>
        <v/>
      </c>
      <c r="AO28" t="str">
        <f t="shared" si="8"/>
        <v/>
      </c>
      <c r="AP28" t="str">
        <f t="shared" si="8"/>
        <v/>
      </c>
      <c r="AQ28" t="str">
        <f t="shared" si="8"/>
        <v/>
      </c>
      <c r="AR28" t="str">
        <f t="shared" si="8"/>
        <v/>
      </c>
      <c r="AS28" t="str">
        <f t="shared" si="8"/>
        <v/>
      </c>
      <c r="AT28" t="str">
        <f t="shared" si="9"/>
        <v/>
      </c>
      <c r="AU28" t="str">
        <f t="shared" si="9"/>
        <v/>
      </c>
      <c r="AV28" t="str">
        <f t="shared" si="9"/>
        <v/>
      </c>
      <c r="AW28" t="str">
        <f t="shared" si="9"/>
        <v/>
      </c>
      <c r="AX28" t="str">
        <f t="shared" si="9"/>
        <v/>
      </c>
      <c r="AY28" t="str">
        <f t="shared" si="9"/>
        <v/>
      </c>
      <c r="AZ28" t="str">
        <f t="shared" si="9"/>
        <v/>
      </c>
      <c r="BA28" t="str">
        <f t="shared" si="9"/>
        <v/>
      </c>
      <c r="BB28" t="str">
        <f t="shared" si="9"/>
        <v/>
      </c>
      <c r="BC28" t="str">
        <f t="shared" si="9"/>
        <v/>
      </c>
      <c r="BD28" t="str">
        <f t="shared" si="10"/>
        <v/>
      </c>
      <c r="BE28" t="str">
        <f t="shared" si="10"/>
        <v/>
      </c>
      <c r="BF28" t="str">
        <f t="shared" si="10"/>
        <v/>
      </c>
      <c r="BG28" t="str">
        <f t="shared" si="10"/>
        <v/>
      </c>
      <c r="BH28" t="str">
        <f t="shared" si="10"/>
        <v/>
      </c>
      <c r="BI28" t="str">
        <f t="shared" si="10"/>
        <v/>
      </c>
      <c r="BJ28" t="str">
        <f t="shared" si="10"/>
        <v/>
      </c>
      <c r="BK28" t="str">
        <f t="shared" si="10"/>
        <v/>
      </c>
      <c r="BL28" t="str">
        <f t="shared" si="10"/>
        <v/>
      </c>
      <c r="BM28" t="str">
        <f t="shared" si="10"/>
        <v/>
      </c>
      <c r="BN28" t="str">
        <f t="shared" si="11"/>
        <v/>
      </c>
      <c r="BO28" t="str">
        <f t="shared" si="11"/>
        <v/>
      </c>
      <c r="BP28" t="str">
        <f t="shared" si="11"/>
        <v/>
      </c>
      <c r="BQ28" t="str">
        <f t="shared" si="11"/>
        <v/>
      </c>
      <c r="BR28" t="str">
        <f t="shared" si="11"/>
        <v/>
      </c>
      <c r="BS28" t="str">
        <f t="shared" si="11"/>
        <v/>
      </c>
      <c r="BT28" t="str">
        <f t="shared" si="11"/>
        <v/>
      </c>
      <c r="BU28" t="str">
        <f t="shared" si="11"/>
        <v/>
      </c>
      <c r="BV28" t="str">
        <f t="shared" si="11"/>
        <v/>
      </c>
      <c r="BW28" t="str">
        <f t="shared" si="11"/>
        <v/>
      </c>
    </row>
    <row r="29" spans="1:75" x14ac:dyDescent="0.25">
      <c r="A29" t="s">
        <v>67</v>
      </c>
      <c r="J29">
        <f>SUMIFS('Suivi Temps'!$D:$D,'Suivi Temps'!$A:$A,"P001-019")</f>
        <v>0</v>
      </c>
      <c r="P29" t="str">
        <f t="shared" si="6"/>
        <v/>
      </c>
      <c r="Q29" t="str">
        <f t="shared" si="6"/>
        <v/>
      </c>
      <c r="R29" t="str">
        <f t="shared" si="6"/>
        <v/>
      </c>
      <c r="S29" t="str">
        <f t="shared" si="6"/>
        <v/>
      </c>
      <c r="T29" t="str">
        <f t="shared" si="6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7"/>
        <v/>
      </c>
      <c r="AA29" t="str">
        <f t="shared" si="7"/>
        <v/>
      </c>
      <c r="AB29" t="str">
        <f t="shared" si="7"/>
        <v/>
      </c>
      <c r="AC29" t="str">
        <f t="shared" si="7"/>
        <v/>
      </c>
      <c r="AD29" t="str">
        <f t="shared" si="7"/>
        <v/>
      </c>
      <c r="AE29" t="str">
        <f t="shared" si="7"/>
        <v/>
      </c>
      <c r="AF29" t="str">
        <f t="shared" si="7"/>
        <v/>
      </c>
      <c r="AG29" t="str">
        <f t="shared" si="7"/>
        <v/>
      </c>
      <c r="AH29" t="str">
        <f t="shared" si="7"/>
        <v/>
      </c>
      <c r="AI29" t="str">
        <f t="shared" si="7"/>
        <v/>
      </c>
      <c r="AJ29" t="str">
        <f t="shared" si="8"/>
        <v/>
      </c>
      <c r="AK29" t="str">
        <f t="shared" si="8"/>
        <v/>
      </c>
      <c r="AL29" t="str">
        <f t="shared" si="8"/>
        <v/>
      </c>
      <c r="AM29" t="str">
        <f t="shared" si="8"/>
        <v/>
      </c>
      <c r="AN29" t="str">
        <f t="shared" si="8"/>
        <v/>
      </c>
      <c r="AO29" t="str">
        <f t="shared" si="8"/>
        <v/>
      </c>
      <c r="AP29" t="str">
        <f t="shared" si="8"/>
        <v/>
      </c>
      <c r="AQ29" t="str">
        <f t="shared" si="8"/>
        <v/>
      </c>
      <c r="AR29" t="str">
        <f t="shared" si="8"/>
        <v/>
      </c>
      <c r="AS29" t="str">
        <f t="shared" si="8"/>
        <v/>
      </c>
      <c r="AT29" t="str">
        <f t="shared" si="9"/>
        <v/>
      </c>
      <c r="AU29" t="str">
        <f t="shared" si="9"/>
        <v/>
      </c>
      <c r="AV29" t="str">
        <f t="shared" si="9"/>
        <v/>
      </c>
      <c r="AW29" t="str">
        <f t="shared" si="9"/>
        <v/>
      </c>
      <c r="AX29" t="str">
        <f t="shared" si="9"/>
        <v/>
      </c>
      <c r="AY29" t="str">
        <f t="shared" si="9"/>
        <v/>
      </c>
      <c r="AZ29" t="str">
        <f t="shared" si="9"/>
        <v/>
      </c>
      <c r="BA29" t="str">
        <f t="shared" si="9"/>
        <v/>
      </c>
      <c r="BB29" t="str">
        <f t="shared" si="9"/>
        <v/>
      </c>
      <c r="BC29" t="str">
        <f t="shared" si="9"/>
        <v/>
      </c>
      <c r="BD29" t="str">
        <f t="shared" si="10"/>
        <v/>
      </c>
      <c r="BE29" t="str">
        <f t="shared" si="10"/>
        <v/>
      </c>
      <c r="BF29" t="str">
        <f t="shared" si="10"/>
        <v/>
      </c>
      <c r="BG29" t="str">
        <f t="shared" si="10"/>
        <v/>
      </c>
      <c r="BH29" t="str">
        <f t="shared" si="10"/>
        <v/>
      </c>
      <c r="BI29" t="str">
        <f t="shared" si="10"/>
        <v/>
      </c>
      <c r="BJ29" t="str">
        <f t="shared" si="10"/>
        <v/>
      </c>
      <c r="BK29" t="str">
        <f t="shared" si="10"/>
        <v/>
      </c>
      <c r="BL29" t="str">
        <f t="shared" si="10"/>
        <v/>
      </c>
      <c r="BM29" t="str">
        <f t="shared" si="10"/>
        <v/>
      </c>
      <c r="BN29" t="str">
        <f t="shared" si="11"/>
        <v/>
      </c>
      <c r="BO29" t="str">
        <f t="shared" si="11"/>
        <v/>
      </c>
      <c r="BP29" t="str">
        <f t="shared" si="11"/>
        <v/>
      </c>
      <c r="BQ29" t="str">
        <f t="shared" si="11"/>
        <v/>
      </c>
      <c r="BR29" t="str">
        <f t="shared" si="11"/>
        <v/>
      </c>
      <c r="BS29" t="str">
        <f t="shared" si="11"/>
        <v/>
      </c>
      <c r="BT29" t="str">
        <f t="shared" si="11"/>
        <v/>
      </c>
      <c r="BU29" t="str">
        <f t="shared" si="11"/>
        <v/>
      </c>
      <c r="BV29" t="str">
        <f t="shared" si="11"/>
        <v/>
      </c>
      <c r="BW29" t="str">
        <f t="shared" si="11"/>
        <v/>
      </c>
    </row>
    <row r="30" spans="1:75" x14ac:dyDescent="0.25">
      <c r="A30" t="s">
        <v>68</v>
      </c>
      <c r="J30">
        <f>SUMIFS('Suivi Temps'!$D:$D,'Suivi Temps'!$A:$A,"P001-020")</f>
        <v>0</v>
      </c>
      <c r="P30" t="str">
        <f t="shared" si="6"/>
        <v/>
      </c>
      <c r="Q30" t="str">
        <f t="shared" si="6"/>
        <v/>
      </c>
      <c r="R30" t="str">
        <f t="shared" si="6"/>
        <v/>
      </c>
      <c r="S30" t="str">
        <f t="shared" si="6"/>
        <v/>
      </c>
      <c r="T30" t="str">
        <f t="shared" si="6"/>
        <v/>
      </c>
      <c r="U30" t="str">
        <f t="shared" si="6"/>
        <v/>
      </c>
      <c r="V30" t="str">
        <f t="shared" si="6"/>
        <v/>
      </c>
      <c r="W30" t="str">
        <f t="shared" si="6"/>
        <v/>
      </c>
      <c r="X30" t="str">
        <f t="shared" si="6"/>
        <v/>
      </c>
      <c r="Y30" t="str">
        <f t="shared" si="6"/>
        <v/>
      </c>
      <c r="Z30" t="str">
        <f t="shared" si="7"/>
        <v/>
      </c>
      <c r="AA30" t="str">
        <f t="shared" si="7"/>
        <v/>
      </c>
      <c r="AB30" t="str">
        <f t="shared" si="7"/>
        <v/>
      </c>
      <c r="AC30" t="str">
        <f t="shared" si="7"/>
        <v/>
      </c>
      <c r="AD30" t="str">
        <f t="shared" si="7"/>
        <v/>
      </c>
      <c r="AE30" t="str">
        <f t="shared" si="7"/>
        <v/>
      </c>
      <c r="AF30" t="str">
        <f t="shared" si="7"/>
        <v/>
      </c>
      <c r="AG30" t="str">
        <f t="shared" si="7"/>
        <v/>
      </c>
      <c r="AH30" t="str">
        <f t="shared" si="7"/>
        <v/>
      </c>
      <c r="AI30" t="str">
        <f t="shared" si="7"/>
        <v/>
      </c>
      <c r="AJ30" t="str">
        <f t="shared" si="8"/>
        <v/>
      </c>
      <c r="AK30" t="str">
        <f t="shared" si="8"/>
        <v/>
      </c>
      <c r="AL30" t="str">
        <f t="shared" si="8"/>
        <v/>
      </c>
      <c r="AM30" t="str">
        <f t="shared" si="8"/>
        <v/>
      </c>
      <c r="AN30" t="str">
        <f t="shared" si="8"/>
        <v/>
      </c>
      <c r="AO30" t="str">
        <f t="shared" si="8"/>
        <v/>
      </c>
      <c r="AP30" t="str">
        <f t="shared" si="8"/>
        <v/>
      </c>
      <c r="AQ30" t="str">
        <f t="shared" si="8"/>
        <v/>
      </c>
      <c r="AR30" t="str">
        <f t="shared" si="8"/>
        <v/>
      </c>
      <c r="AS30" t="str">
        <f t="shared" si="8"/>
        <v/>
      </c>
      <c r="AT30" t="str">
        <f t="shared" si="9"/>
        <v/>
      </c>
      <c r="AU30" t="str">
        <f t="shared" si="9"/>
        <v/>
      </c>
      <c r="AV30" t="str">
        <f t="shared" si="9"/>
        <v/>
      </c>
      <c r="AW30" t="str">
        <f t="shared" si="9"/>
        <v/>
      </c>
      <c r="AX30" t="str">
        <f t="shared" si="9"/>
        <v/>
      </c>
      <c r="AY30" t="str">
        <f t="shared" si="9"/>
        <v/>
      </c>
      <c r="AZ30" t="str">
        <f t="shared" si="9"/>
        <v/>
      </c>
      <c r="BA30" t="str">
        <f t="shared" si="9"/>
        <v/>
      </c>
      <c r="BB30" t="str">
        <f t="shared" si="9"/>
        <v/>
      </c>
      <c r="BC30" t="str">
        <f t="shared" si="9"/>
        <v/>
      </c>
      <c r="BD30" t="str">
        <f t="shared" si="10"/>
        <v/>
      </c>
      <c r="BE30" t="str">
        <f t="shared" si="10"/>
        <v/>
      </c>
      <c r="BF30" t="str">
        <f t="shared" si="10"/>
        <v/>
      </c>
      <c r="BG30" t="str">
        <f t="shared" si="10"/>
        <v/>
      </c>
      <c r="BH30" t="str">
        <f t="shared" si="10"/>
        <v/>
      </c>
      <c r="BI30" t="str">
        <f t="shared" si="10"/>
        <v/>
      </c>
      <c r="BJ30" t="str">
        <f t="shared" si="10"/>
        <v/>
      </c>
      <c r="BK30" t="str">
        <f t="shared" si="10"/>
        <v/>
      </c>
      <c r="BL30" t="str">
        <f t="shared" si="10"/>
        <v/>
      </c>
      <c r="BM30" t="str">
        <f t="shared" si="10"/>
        <v/>
      </c>
      <c r="BN30" t="str">
        <f t="shared" si="11"/>
        <v/>
      </c>
      <c r="BO30" t="str">
        <f t="shared" si="11"/>
        <v/>
      </c>
      <c r="BP30" t="str">
        <f t="shared" si="11"/>
        <v/>
      </c>
      <c r="BQ30" t="str">
        <f t="shared" si="11"/>
        <v/>
      </c>
      <c r="BR30" t="str">
        <f t="shared" si="11"/>
        <v/>
      </c>
      <c r="BS30" t="str">
        <f t="shared" si="11"/>
        <v/>
      </c>
      <c r="BT30" t="str">
        <f t="shared" si="11"/>
        <v/>
      </c>
      <c r="BU30" t="str">
        <f t="shared" si="11"/>
        <v/>
      </c>
      <c r="BV30" t="str">
        <f t="shared" si="11"/>
        <v/>
      </c>
      <c r="BW30" t="str">
        <f t="shared" si="11"/>
        <v/>
      </c>
    </row>
    <row r="31" spans="1:75" x14ac:dyDescent="0.25">
      <c r="A31" t="s">
        <v>69</v>
      </c>
      <c r="J31">
        <f>SUMIFS('Suivi Temps'!$D:$D,'Suivi Temps'!$A:$A,"P001-021")</f>
        <v>0</v>
      </c>
      <c r="P31" t="str">
        <f t="shared" ref="P31:Y40" si="12">IF(AND($E31&lt;&gt;"",$F31&lt;&gt;"",P$9&gt;=$E31,P$9&lt;=$F31),"■","")</f>
        <v/>
      </c>
      <c r="Q31" t="str">
        <f t="shared" si="12"/>
        <v/>
      </c>
      <c r="R31" t="str">
        <f t="shared" si="12"/>
        <v/>
      </c>
      <c r="S31" t="str">
        <f t="shared" si="12"/>
        <v/>
      </c>
      <c r="T31" t="str">
        <f t="shared" si="12"/>
        <v/>
      </c>
      <c r="U31" t="str">
        <f t="shared" si="12"/>
        <v/>
      </c>
      <c r="V31" t="str">
        <f t="shared" si="12"/>
        <v/>
      </c>
      <c r="W31" t="str">
        <f t="shared" si="12"/>
        <v/>
      </c>
      <c r="X31" t="str">
        <f t="shared" si="12"/>
        <v/>
      </c>
      <c r="Y31" t="str">
        <f t="shared" si="12"/>
        <v/>
      </c>
      <c r="Z31" t="str">
        <f t="shared" ref="Z31:AI40" si="13">IF(AND($E31&lt;&gt;"",$F31&lt;&gt;"",Z$9&gt;=$E31,Z$9&lt;=$F31),"■","")</f>
        <v/>
      </c>
      <c r="AA31" t="str">
        <f t="shared" si="13"/>
        <v/>
      </c>
      <c r="AB31" t="str">
        <f t="shared" si="13"/>
        <v/>
      </c>
      <c r="AC31" t="str">
        <f t="shared" si="13"/>
        <v/>
      </c>
      <c r="AD31" t="str">
        <f t="shared" si="13"/>
        <v/>
      </c>
      <c r="AE31" t="str">
        <f t="shared" si="13"/>
        <v/>
      </c>
      <c r="AF31" t="str">
        <f t="shared" si="13"/>
        <v/>
      </c>
      <c r="AG31" t="str">
        <f t="shared" si="13"/>
        <v/>
      </c>
      <c r="AH31" t="str">
        <f t="shared" si="13"/>
        <v/>
      </c>
      <c r="AI31" t="str">
        <f t="shared" si="13"/>
        <v/>
      </c>
      <c r="AJ31" t="str">
        <f t="shared" ref="AJ31:AS40" si="14">IF(AND($E31&lt;&gt;"",$F31&lt;&gt;"",AJ$9&gt;=$E31,AJ$9&lt;=$F31),"■","")</f>
        <v/>
      </c>
      <c r="AK31" t="str">
        <f t="shared" si="14"/>
        <v/>
      </c>
      <c r="AL31" t="str">
        <f t="shared" si="14"/>
        <v/>
      </c>
      <c r="AM31" t="str">
        <f t="shared" si="14"/>
        <v/>
      </c>
      <c r="AN31" t="str">
        <f t="shared" si="14"/>
        <v/>
      </c>
      <c r="AO31" t="str">
        <f t="shared" si="14"/>
        <v/>
      </c>
      <c r="AP31" t="str">
        <f t="shared" si="14"/>
        <v/>
      </c>
      <c r="AQ31" t="str">
        <f t="shared" si="14"/>
        <v/>
      </c>
      <c r="AR31" t="str">
        <f t="shared" si="14"/>
        <v/>
      </c>
      <c r="AS31" t="str">
        <f t="shared" si="14"/>
        <v/>
      </c>
      <c r="AT31" t="str">
        <f t="shared" ref="AT31:BC40" si="15">IF(AND($E31&lt;&gt;"",$F31&lt;&gt;"",AT$9&gt;=$E31,AT$9&lt;=$F31),"■","")</f>
        <v/>
      </c>
      <c r="AU31" t="str">
        <f t="shared" si="15"/>
        <v/>
      </c>
      <c r="AV31" t="str">
        <f t="shared" si="15"/>
        <v/>
      </c>
      <c r="AW31" t="str">
        <f t="shared" si="15"/>
        <v/>
      </c>
      <c r="AX31" t="str">
        <f t="shared" si="15"/>
        <v/>
      </c>
      <c r="AY31" t="str">
        <f t="shared" si="15"/>
        <v/>
      </c>
      <c r="AZ31" t="str">
        <f t="shared" si="15"/>
        <v/>
      </c>
      <c r="BA31" t="str">
        <f t="shared" si="15"/>
        <v/>
      </c>
      <c r="BB31" t="str">
        <f t="shared" si="15"/>
        <v/>
      </c>
      <c r="BC31" t="str">
        <f t="shared" si="15"/>
        <v/>
      </c>
      <c r="BD31" t="str">
        <f t="shared" ref="BD31:BM40" si="16">IF(AND($E31&lt;&gt;"",$F31&lt;&gt;"",BD$9&gt;=$E31,BD$9&lt;=$F31),"■","")</f>
        <v/>
      </c>
      <c r="BE31" t="str">
        <f t="shared" si="16"/>
        <v/>
      </c>
      <c r="BF31" t="str">
        <f t="shared" si="16"/>
        <v/>
      </c>
      <c r="BG31" t="str">
        <f t="shared" si="16"/>
        <v/>
      </c>
      <c r="BH31" t="str">
        <f t="shared" si="16"/>
        <v/>
      </c>
      <c r="BI31" t="str">
        <f t="shared" si="16"/>
        <v/>
      </c>
      <c r="BJ31" t="str">
        <f t="shared" si="16"/>
        <v/>
      </c>
      <c r="BK31" t="str">
        <f t="shared" si="16"/>
        <v/>
      </c>
      <c r="BL31" t="str">
        <f t="shared" si="16"/>
        <v/>
      </c>
      <c r="BM31" t="str">
        <f t="shared" si="16"/>
        <v/>
      </c>
      <c r="BN31" t="str">
        <f t="shared" ref="BN31:BW40" si="17">IF(AND($E31&lt;&gt;"",$F31&lt;&gt;"",BN$9&gt;=$E31,BN$9&lt;=$F31),"■","")</f>
        <v/>
      </c>
      <c r="BO31" t="str">
        <f t="shared" si="17"/>
        <v/>
      </c>
      <c r="BP31" t="str">
        <f t="shared" si="17"/>
        <v/>
      </c>
      <c r="BQ31" t="str">
        <f t="shared" si="17"/>
        <v/>
      </c>
      <c r="BR31" t="str">
        <f t="shared" si="17"/>
        <v/>
      </c>
      <c r="BS31" t="str">
        <f t="shared" si="17"/>
        <v/>
      </c>
      <c r="BT31" t="str">
        <f t="shared" si="17"/>
        <v/>
      </c>
      <c r="BU31" t="str">
        <f t="shared" si="17"/>
        <v/>
      </c>
      <c r="BV31" t="str">
        <f t="shared" si="17"/>
        <v/>
      </c>
      <c r="BW31" t="str">
        <f t="shared" si="17"/>
        <v/>
      </c>
    </row>
    <row r="32" spans="1:75" x14ac:dyDescent="0.25">
      <c r="A32" t="s">
        <v>70</v>
      </c>
      <c r="J32">
        <f>SUMIFS('Suivi Temps'!$D:$D,'Suivi Temps'!$A:$A,"P001-022")</f>
        <v>0</v>
      </c>
      <c r="P32" t="str">
        <f t="shared" si="12"/>
        <v/>
      </c>
      <c r="Q32" t="str">
        <f t="shared" si="12"/>
        <v/>
      </c>
      <c r="R32" t="str">
        <f t="shared" si="12"/>
        <v/>
      </c>
      <c r="S32" t="str">
        <f t="shared" si="12"/>
        <v/>
      </c>
      <c r="T32" t="str">
        <f t="shared" si="12"/>
        <v/>
      </c>
      <c r="U32" t="str">
        <f t="shared" si="12"/>
        <v/>
      </c>
      <c r="V32" t="str">
        <f t="shared" si="12"/>
        <v/>
      </c>
      <c r="W32" t="str">
        <f t="shared" si="12"/>
        <v/>
      </c>
      <c r="X32" t="str">
        <f t="shared" si="12"/>
        <v/>
      </c>
      <c r="Y32" t="str">
        <f t="shared" si="12"/>
        <v/>
      </c>
      <c r="Z32" t="str">
        <f t="shared" si="13"/>
        <v/>
      </c>
      <c r="AA32" t="str">
        <f t="shared" si="13"/>
        <v/>
      </c>
      <c r="AB32" t="str">
        <f t="shared" si="13"/>
        <v/>
      </c>
      <c r="AC32" t="str">
        <f t="shared" si="13"/>
        <v/>
      </c>
      <c r="AD32" t="str">
        <f t="shared" si="13"/>
        <v/>
      </c>
      <c r="AE32" t="str">
        <f t="shared" si="13"/>
        <v/>
      </c>
      <c r="AF32" t="str">
        <f t="shared" si="13"/>
        <v/>
      </c>
      <c r="AG32" t="str">
        <f t="shared" si="13"/>
        <v/>
      </c>
      <c r="AH32" t="str">
        <f t="shared" si="13"/>
        <v/>
      </c>
      <c r="AI32" t="str">
        <f t="shared" si="13"/>
        <v/>
      </c>
      <c r="AJ32" t="str">
        <f t="shared" si="14"/>
        <v/>
      </c>
      <c r="AK32" t="str">
        <f t="shared" si="14"/>
        <v/>
      </c>
      <c r="AL32" t="str">
        <f t="shared" si="14"/>
        <v/>
      </c>
      <c r="AM32" t="str">
        <f t="shared" si="14"/>
        <v/>
      </c>
      <c r="AN32" t="str">
        <f t="shared" si="14"/>
        <v/>
      </c>
      <c r="AO32" t="str">
        <f t="shared" si="14"/>
        <v/>
      </c>
      <c r="AP32" t="str">
        <f t="shared" si="14"/>
        <v/>
      </c>
      <c r="AQ32" t="str">
        <f t="shared" si="14"/>
        <v/>
      </c>
      <c r="AR32" t="str">
        <f t="shared" si="14"/>
        <v/>
      </c>
      <c r="AS32" t="str">
        <f t="shared" si="14"/>
        <v/>
      </c>
      <c r="AT32" t="str">
        <f t="shared" si="15"/>
        <v/>
      </c>
      <c r="AU32" t="str">
        <f t="shared" si="15"/>
        <v/>
      </c>
      <c r="AV32" t="str">
        <f t="shared" si="15"/>
        <v/>
      </c>
      <c r="AW32" t="str">
        <f t="shared" si="15"/>
        <v/>
      </c>
      <c r="AX32" t="str">
        <f t="shared" si="15"/>
        <v/>
      </c>
      <c r="AY32" t="str">
        <f t="shared" si="15"/>
        <v/>
      </c>
      <c r="AZ32" t="str">
        <f t="shared" si="15"/>
        <v/>
      </c>
      <c r="BA32" t="str">
        <f t="shared" si="15"/>
        <v/>
      </c>
      <c r="BB32" t="str">
        <f t="shared" si="15"/>
        <v/>
      </c>
      <c r="BC32" t="str">
        <f t="shared" si="15"/>
        <v/>
      </c>
      <c r="BD32" t="str">
        <f t="shared" si="16"/>
        <v/>
      </c>
      <c r="BE32" t="str">
        <f t="shared" si="16"/>
        <v/>
      </c>
      <c r="BF32" t="str">
        <f t="shared" si="16"/>
        <v/>
      </c>
      <c r="BG32" t="str">
        <f t="shared" si="16"/>
        <v/>
      </c>
      <c r="BH32" t="str">
        <f t="shared" si="16"/>
        <v/>
      </c>
      <c r="BI32" t="str">
        <f t="shared" si="16"/>
        <v/>
      </c>
      <c r="BJ32" t="str">
        <f t="shared" si="16"/>
        <v/>
      </c>
      <c r="BK32" t="str">
        <f t="shared" si="16"/>
        <v/>
      </c>
      <c r="BL32" t="str">
        <f t="shared" si="16"/>
        <v/>
      </c>
      <c r="BM32" t="str">
        <f t="shared" si="16"/>
        <v/>
      </c>
      <c r="BN32" t="str">
        <f t="shared" si="17"/>
        <v/>
      </c>
      <c r="BO32" t="str">
        <f t="shared" si="17"/>
        <v/>
      </c>
      <c r="BP32" t="str">
        <f t="shared" si="17"/>
        <v/>
      </c>
      <c r="BQ32" t="str">
        <f t="shared" si="17"/>
        <v/>
      </c>
      <c r="BR32" t="str">
        <f t="shared" si="17"/>
        <v/>
      </c>
      <c r="BS32" t="str">
        <f t="shared" si="17"/>
        <v/>
      </c>
      <c r="BT32" t="str">
        <f t="shared" si="17"/>
        <v/>
      </c>
      <c r="BU32" t="str">
        <f t="shared" si="17"/>
        <v/>
      </c>
      <c r="BV32" t="str">
        <f t="shared" si="17"/>
        <v/>
      </c>
      <c r="BW32" t="str">
        <f t="shared" si="17"/>
        <v/>
      </c>
    </row>
    <row r="33" spans="1:75" x14ac:dyDescent="0.25">
      <c r="A33" t="s">
        <v>71</v>
      </c>
      <c r="J33">
        <f>SUMIFS('Suivi Temps'!$D:$D,'Suivi Temps'!$A:$A,"P001-023")</f>
        <v>0</v>
      </c>
      <c r="P33" t="str">
        <f t="shared" si="12"/>
        <v/>
      </c>
      <c r="Q33" t="str">
        <f t="shared" si="12"/>
        <v/>
      </c>
      <c r="R33" t="str">
        <f t="shared" si="12"/>
        <v/>
      </c>
      <c r="S33" t="str">
        <f t="shared" si="12"/>
        <v/>
      </c>
      <c r="T33" t="str">
        <f t="shared" si="12"/>
        <v/>
      </c>
      <c r="U33" t="str">
        <f t="shared" si="12"/>
        <v/>
      </c>
      <c r="V33" t="str">
        <f t="shared" si="12"/>
        <v/>
      </c>
      <c r="W33" t="str">
        <f t="shared" si="12"/>
        <v/>
      </c>
      <c r="X33" t="str">
        <f t="shared" si="12"/>
        <v/>
      </c>
      <c r="Y33" t="str">
        <f t="shared" si="12"/>
        <v/>
      </c>
      <c r="Z33" t="str">
        <f t="shared" si="13"/>
        <v/>
      </c>
      <c r="AA33" t="str">
        <f t="shared" si="13"/>
        <v/>
      </c>
      <c r="AB33" t="str">
        <f t="shared" si="13"/>
        <v/>
      </c>
      <c r="AC33" t="str">
        <f t="shared" si="13"/>
        <v/>
      </c>
      <c r="AD33" t="str">
        <f t="shared" si="13"/>
        <v/>
      </c>
      <c r="AE33" t="str">
        <f t="shared" si="13"/>
        <v/>
      </c>
      <c r="AF33" t="str">
        <f t="shared" si="13"/>
        <v/>
      </c>
      <c r="AG33" t="str">
        <f t="shared" si="13"/>
        <v/>
      </c>
      <c r="AH33" t="str">
        <f t="shared" si="13"/>
        <v/>
      </c>
      <c r="AI33" t="str">
        <f t="shared" si="13"/>
        <v/>
      </c>
      <c r="AJ33" t="str">
        <f t="shared" si="14"/>
        <v/>
      </c>
      <c r="AK33" t="str">
        <f t="shared" si="14"/>
        <v/>
      </c>
      <c r="AL33" t="str">
        <f t="shared" si="14"/>
        <v/>
      </c>
      <c r="AM33" t="str">
        <f t="shared" si="14"/>
        <v/>
      </c>
      <c r="AN33" t="str">
        <f t="shared" si="14"/>
        <v/>
      </c>
      <c r="AO33" t="str">
        <f t="shared" si="14"/>
        <v/>
      </c>
      <c r="AP33" t="str">
        <f t="shared" si="14"/>
        <v/>
      </c>
      <c r="AQ33" t="str">
        <f t="shared" si="14"/>
        <v/>
      </c>
      <c r="AR33" t="str">
        <f t="shared" si="14"/>
        <v/>
      </c>
      <c r="AS33" t="str">
        <f t="shared" si="14"/>
        <v/>
      </c>
      <c r="AT33" t="str">
        <f t="shared" si="15"/>
        <v/>
      </c>
      <c r="AU33" t="str">
        <f t="shared" si="15"/>
        <v/>
      </c>
      <c r="AV33" t="str">
        <f t="shared" si="15"/>
        <v/>
      </c>
      <c r="AW33" t="str">
        <f t="shared" si="15"/>
        <v/>
      </c>
      <c r="AX33" t="str">
        <f t="shared" si="15"/>
        <v/>
      </c>
      <c r="AY33" t="str">
        <f t="shared" si="15"/>
        <v/>
      </c>
      <c r="AZ33" t="str">
        <f t="shared" si="15"/>
        <v/>
      </c>
      <c r="BA33" t="str">
        <f t="shared" si="15"/>
        <v/>
      </c>
      <c r="BB33" t="str">
        <f t="shared" si="15"/>
        <v/>
      </c>
      <c r="BC33" t="str">
        <f t="shared" si="15"/>
        <v/>
      </c>
      <c r="BD33" t="str">
        <f t="shared" si="16"/>
        <v/>
      </c>
      <c r="BE33" t="str">
        <f t="shared" si="16"/>
        <v/>
      </c>
      <c r="BF33" t="str">
        <f t="shared" si="16"/>
        <v/>
      </c>
      <c r="BG33" t="str">
        <f t="shared" si="16"/>
        <v/>
      </c>
      <c r="BH33" t="str">
        <f t="shared" si="16"/>
        <v/>
      </c>
      <c r="BI33" t="str">
        <f t="shared" si="16"/>
        <v/>
      </c>
      <c r="BJ33" t="str">
        <f t="shared" si="16"/>
        <v/>
      </c>
      <c r="BK33" t="str">
        <f t="shared" si="16"/>
        <v/>
      </c>
      <c r="BL33" t="str">
        <f t="shared" si="16"/>
        <v/>
      </c>
      <c r="BM33" t="str">
        <f t="shared" si="16"/>
        <v/>
      </c>
      <c r="BN33" t="str">
        <f t="shared" si="17"/>
        <v/>
      </c>
      <c r="BO33" t="str">
        <f t="shared" si="17"/>
        <v/>
      </c>
      <c r="BP33" t="str">
        <f t="shared" si="17"/>
        <v/>
      </c>
      <c r="BQ33" t="str">
        <f t="shared" si="17"/>
        <v/>
      </c>
      <c r="BR33" t="str">
        <f t="shared" si="17"/>
        <v/>
      </c>
      <c r="BS33" t="str">
        <f t="shared" si="17"/>
        <v/>
      </c>
      <c r="BT33" t="str">
        <f t="shared" si="17"/>
        <v/>
      </c>
      <c r="BU33" t="str">
        <f t="shared" si="17"/>
        <v/>
      </c>
      <c r="BV33" t="str">
        <f t="shared" si="17"/>
        <v/>
      </c>
      <c r="BW33" t="str">
        <f t="shared" si="17"/>
        <v/>
      </c>
    </row>
    <row r="34" spans="1:75" x14ac:dyDescent="0.25">
      <c r="A34" t="s">
        <v>72</v>
      </c>
      <c r="J34">
        <f>SUMIFS('Suivi Temps'!$D:$D,'Suivi Temps'!$A:$A,"P001-024")</f>
        <v>0</v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3"/>
        <v/>
      </c>
      <c r="AA34" t="str">
        <f t="shared" si="13"/>
        <v/>
      </c>
      <c r="AB34" t="str">
        <f t="shared" si="13"/>
        <v/>
      </c>
      <c r="AC34" t="str">
        <f t="shared" si="13"/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4"/>
        <v/>
      </c>
      <c r="AK34" t="str">
        <f t="shared" si="14"/>
        <v/>
      </c>
      <c r="AL34" t="str">
        <f t="shared" si="14"/>
        <v/>
      </c>
      <c r="AM34" t="str">
        <f t="shared" si="14"/>
        <v/>
      </c>
      <c r="AN34" t="str">
        <f t="shared" si="14"/>
        <v/>
      </c>
      <c r="AO34" t="str">
        <f t="shared" si="14"/>
        <v/>
      </c>
      <c r="AP34" t="str">
        <f t="shared" si="14"/>
        <v/>
      </c>
      <c r="AQ34" t="str">
        <f t="shared" si="14"/>
        <v/>
      </c>
      <c r="AR34" t="str">
        <f t="shared" si="14"/>
        <v/>
      </c>
      <c r="AS34" t="str">
        <f t="shared" si="14"/>
        <v/>
      </c>
      <c r="AT34" t="str">
        <f t="shared" si="15"/>
        <v/>
      </c>
      <c r="AU34" t="str">
        <f t="shared" si="15"/>
        <v/>
      </c>
      <c r="AV34" t="str">
        <f t="shared" si="15"/>
        <v/>
      </c>
      <c r="AW34" t="str">
        <f t="shared" si="15"/>
        <v/>
      </c>
      <c r="AX34" t="str">
        <f t="shared" si="15"/>
        <v/>
      </c>
      <c r="AY34" t="str">
        <f t="shared" si="15"/>
        <v/>
      </c>
      <c r="AZ34" t="str">
        <f t="shared" si="15"/>
        <v/>
      </c>
      <c r="BA34" t="str">
        <f t="shared" si="15"/>
        <v/>
      </c>
      <c r="BB34" t="str">
        <f t="shared" si="15"/>
        <v/>
      </c>
      <c r="BC34" t="str">
        <f t="shared" si="15"/>
        <v/>
      </c>
      <c r="BD34" t="str">
        <f t="shared" si="16"/>
        <v/>
      </c>
      <c r="BE34" t="str">
        <f t="shared" si="16"/>
        <v/>
      </c>
      <c r="BF34" t="str">
        <f t="shared" si="16"/>
        <v/>
      </c>
      <c r="BG34" t="str">
        <f t="shared" si="16"/>
        <v/>
      </c>
      <c r="BH34" t="str">
        <f t="shared" si="16"/>
        <v/>
      </c>
      <c r="BI34" t="str">
        <f t="shared" si="16"/>
        <v/>
      </c>
      <c r="BJ34" t="str">
        <f t="shared" si="16"/>
        <v/>
      </c>
      <c r="BK34" t="str">
        <f t="shared" si="16"/>
        <v/>
      </c>
      <c r="BL34" t="str">
        <f t="shared" si="16"/>
        <v/>
      </c>
      <c r="BM34" t="str">
        <f t="shared" si="16"/>
        <v/>
      </c>
      <c r="BN34" t="str">
        <f t="shared" si="17"/>
        <v/>
      </c>
      <c r="BO34" t="str">
        <f t="shared" si="17"/>
        <v/>
      </c>
      <c r="BP34" t="str">
        <f t="shared" si="17"/>
        <v/>
      </c>
      <c r="BQ34" t="str">
        <f t="shared" si="17"/>
        <v/>
      </c>
      <c r="BR34" t="str">
        <f t="shared" si="17"/>
        <v/>
      </c>
      <c r="BS34" t="str">
        <f t="shared" si="17"/>
        <v/>
      </c>
      <c r="BT34" t="str">
        <f t="shared" si="17"/>
        <v/>
      </c>
      <c r="BU34" t="str">
        <f t="shared" si="17"/>
        <v/>
      </c>
      <c r="BV34" t="str">
        <f t="shared" si="17"/>
        <v/>
      </c>
      <c r="BW34" t="str">
        <f t="shared" si="17"/>
        <v/>
      </c>
    </row>
    <row r="35" spans="1:75" x14ac:dyDescent="0.25">
      <c r="A35" t="s">
        <v>73</v>
      </c>
      <c r="J35">
        <f>SUMIFS('Suivi Temps'!$D:$D,'Suivi Temps'!$A:$A,"P001-025")</f>
        <v>0</v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3"/>
        <v/>
      </c>
      <c r="AA35" t="str">
        <f t="shared" si="13"/>
        <v/>
      </c>
      <c r="AB35" t="str">
        <f t="shared" si="13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4"/>
        <v/>
      </c>
      <c r="AK35" t="str">
        <f t="shared" si="14"/>
        <v/>
      </c>
      <c r="AL35" t="str">
        <f t="shared" si="14"/>
        <v/>
      </c>
      <c r="AM35" t="str">
        <f t="shared" si="14"/>
        <v/>
      </c>
      <c r="AN35" t="str">
        <f t="shared" si="14"/>
        <v/>
      </c>
      <c r="AO35" t="str">
        <f t="shared" si="14"/>
        <v/>
      </c>
      <c r="AP35" t="str">
        <f t="shared" si="14"/>
        <v/>
      </c>
      <c r="AQ35" t="str">
        <f t="shared" si="14"/>
        <v/>
      </c>
      <c r="AR35" t="str">
        <f t="shared" si="14"/>
        <v/>
      </c>
      <c r="AS35" t="str">
        <f t="shared" si="14"/>
        <v/>
      </c>
      <c r="AT35" t="str">
        <f t="shared" si="15"/>
        <v/>
      </c>
      <c r="AU35" t="str">
        <f t="shared" si="15"/>
        <v/>
      </c>
      <c r="AV35" t="str">
        <f t="shared" si="15"/>
        <v/>
      </c>
      <c r="AW35" t="str">
        <f t="shared" si="15"/>
        <v/>
      </c>
      <c r="AX35" t="str">
        <f t="shared" si="15"/>
        <v/>
      </c>
      <c r="AY35" t="str">
        <f t="shared" si="15"/>
        <v/>
      </c>
      <c r="AZ35" t="str">
        <f t="shared" si="15"/>
        <v/>
      </c>
      <c r="BA35" t="str">
        <f t="shared" si="15"/>
        <v/>
      </c>
      <c r="BB35" t="str">
        <f t="shared" si="15"/>
        <v/>
      </c>
      <c r="BC35" t="str">
        <f t="shared" si="15"/>
        <v/>
      </c>
      <c r="BD35" t="str">
        <f t="shared" si="16"/>
        <v/>
      </c>
      <c r="BE35" t="str">
        <f t="shared" si="16"/>
        <v/>
      </c>
      <c r="BF35" t="str">
        <f t="shared" si="16"/>
        <v/>
      </c>
      <c r="BG35" t="str">
        <f t="shared" si="16"/>
        <v/>
      </c>
      <c r="BH35" t="str">
        <f t="shared" si="16"/>
        <v/>
      </c>
      <c r="BI35" t="str">
        <f t="shared" si="16"/>
        <v/>
      </c>
      <c r="BJ35" t="str">
        <f t="shared" si="16"/>
        <v/>
      </c>
      <c r="BK35" t="str">
        <f t="shared" si="16"/>
        <v/>
      </c>
      <c r="BL35" t="str">
        <f t="shared" si="16"/>
        <v/>
      </c>
      <c r="BM35" t="str">
        <f t="shared" si="16"/>
        <v/>
      </c>
      <c r="BN35" t="str">
        <f t="shared" si="17"/>
        <v/>
      </c>
      <c r="BO35" t="str">
        <f t="shared" si="17"/>
        <v/>
      </c>
      <c r="BP35" t="str">
        <f t="shared" si="17"/>
        <v/>
      </c>
      <c r="BQ35" t="str">
        <f t="shared" si="17"/>
        <v/>
      </c>
      <c r="BR35" t="str">
        <f t="shared" si="17"/>
        <v/>
      </c>
      <c r="BS35" t="str">
        <f t="shared" si="17"/>
        <v/>
      </c>
      <c r="BT35" t="str">
        <f t="shared" si="17"/>
        <v/>
      </c>
      <c r="BU35" t="str">
        <f t="shared" si="17"/>
        <v/>
      </c>
      <c r="BV35" t="str">
        <f t="shared" si="17"/>
        <v/>
      </c>
      <c r="BW35" t="str">
        <f t="shared" si="17"/>
        <v/>
      </c>
    </row>
    <row r="36" spans="1:75" x14ac:dyDescent="0.25">
      <c r="A36" t="s">
        <v>74</v>
      </c>
      <c r="J36">
        <f>SUMIFS('Suivi Temps'!$D:$D,'Suivi Temps'!$A:$A,"P001-026")</f>
        <v>0</v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3"/>
        <v/>
      </c>
      <c r="AA36" t="str">
        <f t="shared" si="13"/>
        <v/>
      </c>
      <c r="AB36" t="str">
        <f t="shared" si="13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4"/>
        <v/>
      </c>
      <c r="AK36" t="str">
        <f t="shared" si="14"/>
        <v/>
      </c>
      <c r="AL36" t="str">
        <f t="shared" si="14"/>
        <v/>
      </c>
      <c r="AM36" t="str">
        <f t="shared" si="14"/>
        <v/>
      </c>
      <c r="AN36" t="str">
        <f t="shared" si="14"/>
        <v/>
      </c>
      <c r="AO36" t="str">
        <f t="shared" si="14"/>
        <v/>
      </c>
      <c r="AP36" t="str">
        <f t="shared" si="14"/>
        <v/>
      </c>
      <c r="AQ36" t="str">
        <f t="shared" si="14"/>
        <v/>
      </c>
      <c r="AR36" t="str">
        <f t="shared" si="14"/>
        <v/>
      </c>
      <c r="AS36" t="str">
        <f t="shared" si="14"/>
        <v/>
      </c>
      <c r="AT36" t="str">
        <f t="shared" si="15"/>
        <v/>
      </c>
      <c r="AU36" t="str">
        <f t="shared" si="15"/>
        <v/>
      </c>
      <c r="AV36" t="str">
        <f t="shared" si="15"/>
        <v/>
      </c>
      <c r="AW36" t="str">
        <f t="shared" si="15"/>
        <v/>
      </c>
      <c r="AX36" t="str">
        <f t="shared" si="15"/>
        <v/>
      </c>
      <c r="AY36" t="str">
        <f t="shared" si="15"/>
        <v/>
      </c>
      <c r="AZ36" t="str">
        <f t="shared" si="15"/>
        <v/>
      </c>
      <c r="BA36" t="str">
        <f t="shared" si="15"/>
        <v/>
      </c>
      <c r="BB36" t="str">
        <f t="shared" si="15"/>
        <v/>
      </c>
      <c r="BC36" t="str">
        <f t="shared" si="15"/>
        <v/>
      </c>
      <c r="BD36" t="str">
        <f t="shared" si="16"/>
        <v/>
      </c>
      <c r="BE36" t="str">
        <f t="shared" si="16"/>
        <v/>
      </c>
      <c r="BF36" t="str">
        <f t="shared" si="16"/>
        <v/>
      </c>
      <c r="BG36" t="str">
        <f t="shared" si="16"/>
        <v/>
      </c>
      <c r="BH36" t="str">
        <f t="shared" si="16"/>
        <v/>
      </c>
      <c r="BI36" t="str">
        <f t="shared" si="16"/>
        <v/>
      </c>
      <c r="BJ36" t="str">
        <f t="shared" si="16"/>
        <v/>
      </c>
      <c r="BK36" t="str">
        <f t="shared" si="16"/>
        <v/>
      </c>
      <c r="BL36" t="str">
        <f t="shared" si="16"/>
        <v/>
      </c>
      <c r="BM36" t="str">
        <f t="shared" si="16"/>
        <v/>
      </c>
      <c r="BN36" t="str">
        <f t="shared" si="17"/>
        <v/>
      </c>
      <c r="BO36" t="str">
        <f t="shared" si="17"/>
        <v/>
      </c>
      <c r="BP36" t="str">
        <f t="shared" si="17"/>
        <v/>
      </c>
      <c r="BQ36" t="str">
        <f t="shared" si="17"/>
        <v/>
      </c>
      <c r="BR36" t="str">
        <f t="shared" si="17"/>
        <v/>
      </c>
      <c r="BS36" t="str">
        <f t="shared" si="17"/>
        <v/>
      </c>
      <c r="BT36" t="str">
        <f t="shared" si="17"/>
        <v/>
      </c>
      <c r="BU36" t="str">
        <f t="shared" si="17"/>
        <v/>
      </c>
      <c r="BV36" t="str">
        <f t="shared" si="17"/>
        <v/>
      </c>
      <c r="BW36" t="str">
        <f t="shared" si="17"/>
        <v/>
      </c>
    </row>
    <row r="37" spans="1:75" x14ac:dyDescent="0.25">
      <c r="A37" t="s">
        <v>75</v>
      </c>
      <c r="J37">
        <f>SUMIFS('Suivi Temps'!$D:$D,'Suivi Temps'!$A:$A,"P001-027")</f>
        <v>0</v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3"/>
        <v/>
      </c>
      <c r="AA37" t="str">
        <f t="shared" si="13"/>
        <v/>
      </c>
      <c r="AB37" t="str">
        <f t="shared" si="13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4"/>
        <v/>
      </c>
      <c r="AK37" t="str">
        <f t="shared" si="14"/>
        <v/>
      </c>
      <c r="AL37" t="str">
        <f t="shared" si="14"/>
        <v/>
      </c>
      <c r="AM37" t="str">
        <f t="shared" si="14"/>
        <v/>
      </c>
      <c r="AN37" t="str">
        <f t="shared" si="14"/>
        <v/>
      </c>
      <c r="AO37" t="str">
        <f t="shared" si="14"/>
        <v/>
      </c>
      <c r="AP37" t="str">
        <f t="shared" si="14"/>
        <v/>
      </c>
      <c r="AQ37" t="str">
        <f t="shared" si="14"/>
        <v/>
      </c>
      <c r="AR37" t="str">
        <f t="shared" si="14"/>
        <v/>
      </c>
      <c r="AS37" t="str">
        <f t="shared" si="14"/>
        <v/>
      </c>
      <c r="AT37" t="str">
        <f t="shared" si="15"/>
        <v/>
      </c>
      <c r="AU37" t="str">
        <f t="shared" si="15"/>
        <v/>
      </c>
      <c r="AV37" t="str">
        <f t="shared" si="15"/>
        <v/>
      </c>
      <c r="AW37" t="str">
        <f t="shared" si="15"/>
        <v/>
      </c>
      <c r="AX37" t="str">
        <f t="shared" si="15"/>
        <v/>
      </c>
      <c r="AY37" t="str">
        <f t="shared" si="15"/>
        <v/>
      </c>
      <c r="AZ37" t="str">
        <f t="shared" si="15"/>
        <v/>
      </c>
      <c r="BA37" t="str">
        <f t="shared" si="15"/>
        <v/>
      </c>
      <c r="BB37" t="str">
        <f t="shared" si="15"/>
        <v/>
      </c>
      <c r="BC37" t="str">
        <f t="shared" si="15"/>
        <v/>
      </c>
      <c r="BD37" t="str">
        <f t="shared" si="16"/>
        <v/>
      </c>
      <c r="BE37" t="str">
        <f t="shared" si="16"/>
        <v/>
      </c>
      <c r="BF37" t="str">
        <f t="shared" si="16"/>
        <v/>
      </c>
      <c r="BG37" t="str">
        <f t="shared" si="16"/>
        <v/>
      </c>
      <c r="BH37" t="str">
        <f t="shared" si="16"/>
        <v/>
      </c>
      <c r="BI37" t="str">
        <f t="shared" si="16"/>
        <v/>
      </c>
      <c r="BJ37" t="str">
        <f t="shared" si="16"/>
        <v/>
      </c>
      <c r="BK37" t="str">
        <f t="shared" si="16"/>
        <v/>
      </c>
      <c r="BL37" t="str">
        <f t="shared" si="16"/>
        <v/>
      </c>
      <c r="BM37" t="str">
        <f t="shared" si="16"/>
        <v/>
      </c>
      <c r="BN37" t="str">
        <f t="shared" si="17"/>
        <v/>
      </c>
      <c r="BO37" t="str">
        <f t="shared" si="17"/>
        <v/>
      </c>
      <c r="BP37" t="str">
        <f t="shared" si="17"/>
        <v/>
      </c>
      <c r="BQ37" t="str">
        <f t="shared" si="17"/>
        <v/>
      </c>
      <c r="BR37" t="str">
        <f t="shared" si="17"/>
        <v/>
      </c>
      <c r="BS37" t="str">
        <f t="shared" si="17"/>
        <v/>
      </c>
      <c r="BT37" t="str">
        <f t="shared" si="17"/>
        <v/>
      </c>
      <c r="BU37" t="str">
        <f t="shared" si="17"/>
        <v/>
      </c>
      <c r="BV37" t="str">
        <f t="shared" si="17"/>
        <v/>
      </c>
      <c r="BW37" t="str">
        <f t="shared" si="17"/>
        <v/>
      </c>
    </row>
    <row r="38" spans="1:75" x14ac:dyDescent="0.25">
      <c r="A38" t="s">
        <v>76</v>
      </c>
      <c r="J38">
        <f>SUMIFS('Suivi Temps'!$D:$D,'Suivi Temps'!$A:$A,"P001-028")</f>
        <v>0</v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3"/>
        <v/>
      </c>
      <c r="AA38" t="str">
        <f t="shared" si="13"/>
        <v/>
      </c>
      <c r="AB38" t="str">
        <f t="shared" si="13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4"/>
        <v/>
      </c>
      <c r="AK38" t="str">
        <f t="shared" si="14"/>
        <v/>
      </c>
      <c r="AL38" t="str">
        <f t="shared" si="14"/>
        <v/>
      </c>
      <c r="AM38" t="str">
        <f t="shared" si="14"/>
        <v/>
      </c>
      <c r="AN38" t="str">
        <f t="shared" si="14"/>
        <v/>
      </c>
      <c r="AO38" t="str">
        <f t="shared" si="14"/>
        <v/>
      </c>
      <c r="AP38" t="str">
        <f t="shared" si="14"/>
        <v/>
      </c>
      <c r="AQ38" t="str">
        <f t="shared" si="14"/>
        <v/>
      </c>
      <c r="AR38" t="str">
        <f t="shared" si="14"/>
        <v/>
      </c>
      <c r="AS38" t="str">
        <f t="shared" si="14"/>
        <v/>
      </c>
      <c r="AT38" t="str">
        <f t="shared" si="15"/>
        <v/>
      </c>
      <c r="AU38" t="str">
        <f t="shared" si="15"/>
        <v/>
      </c>
      <c r="AV38" t="str">
        <f t="shared" si="15"/>
        <v/>
      </c>
      <c r="AW38" t="str">
        <f t="shared" si="15"/>
        <v/>
      </c>
      <c r="AX38" t="str">
        <f t="shared" si="15"/>
        <v/>
      </c>
      <c r="AY38" t="str">
        <f t="shared" si="15"/>
        <v/>
      </c>
      <c r="AZ38" t="str">
        <f t="shared" si="15"/>
        <v/>
      </c>
      <c r="BA38" t="str">
        <f t="shared" si="15"/>
        <v/>
      </c>
      <c r="BB38" t="str">
        <f t="shared" si="15"/>
        <v/>
      </c>
      <c r="BC38" t="str">
        <f t="shared" si="15"/>
        <v/>
      </c>
      <c r="BD38" t="str">
        <f t="shared" si="16"/>
        <v/>
      </c>
      <c r="BE38" t="str">
        <f t="shared" si="16"/>
        <v/>
      </c>
      <c r="BF38" t="str">
        <f t="shared" si="16"/>
        <v/>
      </c>
      <c r="BG38" t="str">
        <f t="shared" si="16"/>
        <v/>
      </c>
      <c r="BH38" t="str">
        <f t="shared" si="16"/>
        <v/>
      </c>
      <c r="BI38" t="str">
        <f t="shared" si="16"/>
        <v/>
      </c>
      <c r="BJ38" t="str">
        <f t="shared" si="16"/>
        <v/>
      </c>
      <c r="BK38" t="str">
        <f t="shared" si="16"/>
        <v/>
      </c>
      <c r="BL38" t="str">
        <f t="shared" si="16"/>
        <v/>
      </c>
      <c r="BM38" t="str">
        <f t="shared" si="16"/>
        <v/>
      </c>
      <c r="BN38" t="str">
        <f t="shared" si="17"/>
        <v/>
      </c>
      <c r="BO38" t="str">
        <f t="shared" si="17"/>
        <v/>
      </c>
      <c r="BP38" t="str">
        <f t="shared" si="17"/>
        <v/>
      </c>
      <c r="BQ38" t="str">
        <f t="shared" si="17"/>
        <v/>
      </c>
      <c r="BR38" t="str">
        <f t="shared" si="17"/>
        <v/>
      </c>
      <c r="BS38" t="str">
        <f t="shared" si="17"/>
        <v/>
      </c>
      <c r="BT38" t="str">
        <f t="shared" si="17"/>
        <v/>
      </c>
      <c r="BU38" t="str">
        <f t="shared" si="17"/>
        <v/>
      </c>
      <c r="BV38" t="str">
        <f t="shared" si="17"/>
        <v/>
      </c>
      <c r="BW38" t="str">
        <f t="shared" si="17"/>
        <v/>
      </c>
    </row>
    <row r="39" spans="1:75" x14ac:dyDescent="0.25">
      <c r="A39" t="s">
        <v>77</v>
      </c>
      <c r="J39">
        <f>SUMIFS('Suivi Temps'!$D:$D,'Suivi Temps'!$A:$A,"P001-029")</f>
        <v>0</v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3"/>
        <v/>
      </c>
      <c r="AA39" t="str">
        <f t="shared" si="13"/>
        <v/>
      </c>
      <c r="AB39" t="str">
        <f t="shared" si="13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4"/>
        <v/>
      </c>
      <c r="AK39" t="str">
        <f t="shared" si="14"/>
        <v/>
      </c>
      <c r="AL39" t="str">
        <f t="shared" si="14"/>
        <v/>
      </c>
      <c r="AM39" t="str">
        <f t="shared" si="14"/>
        <v/>
      </c>
      <c r="AN39" t="str">
        <f t="shared" si="14"/>
        <v/>
      </c>
      <c r="AO39" t="str">
        <f t="shared" si="14"/>
        <v/>
      </c>
      <c r="AP39" t="str">
        <f t="shared" si="14"/>
        <v/>
      </c>
      <c r="AQ39" t="str">
        <f t="shared" si="14"/>
        <v/>
      </c>
      <c r="AR39" t="str">
        <f t="shared" si="14"/>
        <v/>
      </c>
      <c r="AS39" t="str">
        <f t="shared" si="14"/>
        <v/>
      </c>
      <c r="AT39" t="str">
        <f t="shared" si="15"/>
        <v/>
      </c>
      <c r="AU39" t="str">
        <f t="shared" si="15"/>
        <v/>
      </c>
      <c r="AV39" t="str">
        <f t="shared" si="15"/>
        <v/>
      </c>
      <c r="AW39" t="str">
        <f t="shared" si="15"/>
        <v/>
      </c>
      <c r="AX39" t="str">
        <f t="shared" si="15"/>
        <v/>
      </c>
      <c r="AY39" t="str">
        <f t="shared" si="15"/>
        <v/>
      </c>
      <c r="AZ39" t="str">
        <f t="shared" si="15"/>
        <v/>
      </c>
      <c r="BA39" t="str">
        <f t="shared" si="15"/>
        <v/>
      </c>
      <c r="BB39" t="str">
        <f t="shared" si="15"/>
        <v/>
      </c>
      <c r="BC39" t="str">
        <f t="shared" si="15"/>
        <v/>
      </c>
      <c r="BD39" t="str">
        <f t="shared" si="16"/>
        <v/>
      </c>
      <c r="BE39" t="str">
        <f t="shared" si="16"/>
        <v/>
      </c>
      <c r="BF39" t="str">
        <f t="shared" si="16"/>
        <v/>
      </c>
      <c r="BG39" t="str">
        <f t="shared" si="16"/>
        <v/>
      </c>
      <c r="BH39" t="str">
        <f t="shared" si="16"/>
        <v/>
      </c>
      <c r="BI39" t="str">
        <f t="shared" si="16"/>
        <v/>
      </c>
      <c r="BJ39" t="str">
        <f t="shared" si="16"/>
        <v/>
      </c>
      <c r="BK39" t="str">
        <f t="shared" si="16"/>
        <v/>
      </c>
      <c r="BL39" t="str">
        <f t="shared" si="16"/>
        <v/>
      </c>
      <c r="BM39" t="str">
        <f t="shared" si="16"/>
        <v/>
      </c>
      <c r="BN39" t="str">
        <f t="shared" si="17"/>
        <v/>
      </c>
      <c r="BO39" t="str">
        <f t="shared" si="17"/>
        <v/>
      </c>
      <c r="BP39" t="str">
        <f t="shared" si="17"/>
        <v/>
      </c>
      <c r="BQ39" t="str">
        <f t="shared" si="17"/>
        <v/>
      </c>
      <c r="BR39" t="str">
        <f t="shared" si="17"/>
        <v/>
      </c>
      <c r="BS39" t="str">
        <f t="shared" si="17"/>
        <v/>
      </c>
      <c r="BT39" t="str">
        <f t="shared" si="17"/>
        <v/>
      </c>
      <c r="BU39" t="str">
        <f t="shared" si="17"/>
        <v/>
      </c>
      <c r="BV39" t="str">
        <f t="shared" si="17"/>
        <v/>
      </c>
      <c r="BW39" t="str">
        <f t="shared" si="17"/>
        <v/>
      </c>
    </row>
    <row r="40" spans="1:75" x14ac:dyDescent="0.25">
      <c r="A40" t="s">
        <v>78</v>
      </c>
      <c r="J40">
        <f>SUMIFS('Suivi Temps'!$D:$D,'Suivi Temps'!$A:$A,"P001-030")</f>
        <v>0</v>
      </c>
      <c r="P40" t="str">
        <f t="shared" si="12"/>
        <v/>
      </c>
      <c r="Q40" t="str">
        <f t="shared" si="12"/>
        <v/>
      </c>
      <c r="R40" t="str">
        <f t="shared" si="12"/>
        <v/>
      </c>
      <c r="S40" t="str">
        <f t="shared" si="12"/>
        <v/>
      </c>
      <c r="T40" t="str">
        <f t="shared" si="12"/>
        <v/>
      </c>
      <c r="U40" t="str">
        <f t="shared" si="12"/>
        <v/>
      </c>
      <c r="V40" t="str">
        <f t="shared" si="12"/>
        <v/>
      </c>
      <c r="W40" t="str">
        <f t="shared" si="12"/>
        <v/>
      </c>
      <c r="X40" t="str">
        <f t="shared" si="12"/>
        <v/>
      </c>
      <c r="Y40" t="str">
        <f t="shared" si="12"/>
        <v/>
      </c>
      <c r="Z40" t="str">
        <f t="shared" si="13"/>
        <v/>
      </c>
      <c r="AA40" t="str">
        <f t="shared" si="13"/>
        <v/>
      </c>
      <c r="AB40" t="str">
        <f t="shared" si="13"/>
        <v/>
      </c>
      <c r="AC40" t="str">
        <f t="shared" si="13"/>
        <v/>
      </c>
      <c r="AD40" t="str">
        <f t="shared" si="13"/>
        <v/>
      </c>
      <c r="AE40" t="str">
        <f t="shared" si="13"/>
        <v/>
      </c>
      <c r="AF40" t="str">
        <f t="shared" si="13"/>
        <v/>
      </c>
      <c r="AG40" t="str">
        <f t="shared" si="13"/>
        <v/>
      </c>
      <c r="AH40" t="str">
        <f t="shared" si="13"/>
        <v/>
      </c>
      <c r="AI40" t="str">
        <f t="shared" si="13"/>
        <v/>
      </c>
      <c r="AJ40" t="str">
        <f t="shared" si="14"/>
        <v/>
      </c>
      <c r="AK40" t="str">
        <f t="shared" si="14"/>
        <v/>
      </c>
      <c r="AL40" t="str">
        <f t="shared" si="14"/>
        <v/>
      </c>
      <c r="AM40" t="str">
        <f t="shared" si="14"/>
        <v/>
      </c>
      <c r="AN40" t="str">
        <f t="shared" si="14"/>
        <v/>
      </c>
      <c r="AO40" t="str">
        <f t="shared" si="14"/>
        <v/>
      </c>
      <c r="AP40" t="str">
        <f t="shared" si="14"/>
        <v/>
      </c>
      <c r="AQ40" t="str">
        <f t="shared" si="14"/>
        <v/>
      </c>
      <c r="AR40" t="str">
        <f t="shared" si="14"/>
        <v/>
      </c>
      <c r="AS40" t="str">
        <f t="shared" si="14"/>
        <v/>
      </c>
      <c r="AT40" t="str">
        <f t="shared" si="15"/>
        <v/>
      </c>
      <c r="AU40" t="str">
        <f t="shared" si="15"/>
        <v/>
      </c>
      <c r="AV40" t="str">
        <f t="shared" si="15"/>
        <v/>
      </c>
      <c r="AW40" t="str">
        <f t="shared" si="15"/>
        <v/>
      </c>
      <c r="AX40" t="str">
        <f t="shared" si="15"/>
        <v/>
      </c>
      <c r="AY40" t="str">
        <f t="shared" si="15"/>
        <v/>
      </c>
      <c r="AZ40" t="str">
        <f t="shared" si="15"/>
        <v/>
      </c>
      <c r="BA40" t="str">
        <f t="shared" si="15"/>
        <v/>
      </c>
      <c r="BB40" t="str">
        <f t="shared" si="15"/>
        <v/>
      </c>
      <c r="BC40" t="str">
        <f t="shared" si="15"/>
        <v/>
      </c>
      <c r="BD40" t="str">
        <f t="shared" si="16"/>
        <v/>
      </c>
      <c r="BE40" t="str">
        <f t="shared" si="16"/>
        <v/>
      </c>
      <c r="BF40" t="str">
        <f t="shared" si="16"/>
        <v/>
      </c>
      <c r="BG40" t="str">
        <f t="shared" si="16"/>
        <v/>
      </c>
      <c r="BH40" t="str">
        <f t="shared" si="16"/>
        <v/>
      </c>
      <c r="BI40" t="str">
        <f t="shared" si="16"/>
        <v/>
      </c>
      <c r="BJ40" t="str">
        <f t="shared" si="16"/>
        <v/>
      </c>
      <c r="BK40" t="str">
        <f t="shared" si="16"/>
        <v/>
      </c>
      <c r="BL40" t="str">
        <f t="shared" si="16"/>
        <v/>
      </c>
      <c r="BM40" t="str">
        <f t="shared" si="16"/>
        <v/>
      </c>
      <c r="BN40" t="str">
        <f t="shared" si="17"/>
        <v/>
      </c>
      <c r="BO40" t="str">
        <f t="shared" si="17"/>
        <v/>
      </c>
      <c r="BP40" t="str">
        <f t="shared" si="17"/>
        <v/>
      </c>
      <c r="BQ40" t="str">
        <f t="shared" si="17"/>
        <v/>
      </c>
      <c r="BR40" t="str">
        <f t="shared" si="17"/>
        <v/>
      </c>
      <c r="BS40" t="str">
        <f t="shared" si="17"/>
        <v/>
      </c>
      <c r="BT40" t="str">
        <f t="shared" si="17"/>
        <v/>
      </c>
      <c r="BU40" t="str">
        <f t="shared" si="17"/>
        <v/>
      </c>
      <c r="BV40" t="str">
        <f t="shared" si="17"/>
        <v/>
      </c>
      <c r="BW40" t="str">
        <f t="shared" si="17"/>
        <v/>
      </c>
    </row>
    <row r="41" spans="1:75" x14ac:dyDescent="0.25">
      <c r="A41" t="s">
        <v>79</v>
      </c>
      <c r="J41">
        <f>SUMIFS('Suivi Temps'!$D:$D,'Suivi Temps'!$A:$A,"P001-031")</f>
        <v>0</v>
      </c>
      <c r="P41" t="str">
        <f t="shared" ref="P41:Y50" si="18">IF(AND($E41&lt;&gt;"",$F41&lt;&gt;"",P$9&gt;=$E41,P$9&lt;=$F41),"■","")</f>
        <v/>
      </c>
      <c r="Q41" t="str">
        <f t="shared" si="18"/>
        <v/>
      </c>
      <c r="R41" t="str">
        <f t="shared" si="18"/>
        <v/>
      </c>
      <c r="S41" t="str">
        <f t="shared" si="18"/>
        <v/>
      </c>
      <c r="T41" t="str">
        <f t="shared" si="18"/>
        <v/>
      </c>
      <c r="U41" t="str">
        <f t="shared" si="18"/>
        <v/>
      </c>
      <c r="V41" t="str">
        <f t="shared" si="18"/>
        <v/>
      </c>
      <c r="W41" t="str">
        <f t="shared" si="18"/>
        <v/>
      </c>
      <c r="X41" t="str">
        <f t="shared" si="18"/>
        <v/>
      </c>
      <c r="Y41" t="str">
        <f t="shared" si="18"/>
        <v/>
      </c>
      <c r="Z41" t="str">
        <f t="shared" ref="Z41:AI50" si="19">IF(AND($E41&lt;&gt;"",$F41&lt;&gt;"",Z$9&gt;=$E41,Z$9&lt;=$F41),"■","")</f>
        <v/>
      </c>
      <c r="AA41" t="str">
        <f t="shared" si="19"/>
        <v/>
      </c>
      <c r="AB41" t="str">
        <f t="shared" si="19"/>
        <v/>
      </c>
      <c r="AC41" t="str">
        <f t="shared" si="19"/>
        <v/>
      </c>
      <c r="AD41" t="str">
        <f t="shared" si="19"/>
        <v/>
      </c>
      <c r="AE41" t="str">
        <f t="shared" si="19"/>
        <v/>
      </c>
      <c r="AF41" t="str">
        <f t="shared" si="19"/>
        <v/>
      </c>
      <c r="AG41" t="str">
        <f t="shared" si="19"/>
        <v/>
      </c>
      <c r="AH41" t="str">
        <f t="shared" si="19"/>
        <v/>
      </c>
      <c r="AI41" t="str">
        <f t="shared" si="19"/>
        <v/>
      </c>
      <c r="AJ41" t="str">
        <f t="shared" ref="AJ41:AS50" si="20">IF(AND($E41&lt;&gt;"",$F41&lt;&gt;"",AJ$9&gt;=$E41,AJ$9&lt;=$F41),"■","")</f>
        <v/>
      </c>
      <c r="AK41" t="str">
        <f t="shared" si="20"/>
        <v/>
      </c>
      <c r="AL41" t="str">
        <f t="shared" si="20"/>
        <v/>
      </c>
      <c r="AM41" t="str">
        <f t="shared" si="20"/>
        <v/>
      </c>
      <c r="AN41" t="str">
        <f t="shared" si="20"/>
        <v/>
      </c>
      <c r="AO41" t="str">
        <f t="shared" si="20"/>
        <v/>
      </c>
      <c r="AP41" t="str">
        <f t="shared" si="20"/>
        <v/>
      </c>
      <c r="AQ41" t="str">
        <f t="shared" si="20"/>
        <v/>
      </c>
      <c r="AR41" t="str">
        <f t="shared" si="20"/>
        <v/>
      </c>
      <c r="AS41" t="str">
        <f t="shared" si="20"/>
        <v/>
      </c>
      <c r="AT41" t="str">
        <f t="shared" ref="AT41:BC50" si="21">IF(AND($E41&lt;&gt;"",$F41&lt;&gt;"",AT$9&gt;=$E41,AT$9&lt;=$F41),"■","")</f>
        <v/>
      </c>
      <c r="AU41" t="str">
        <f t="shared" si="21"/>
        <v/>
      </c>
      <c r="AV41" t="str">
        <f t="shared" si="21"/>
        <v/>
      </c>
      <c r="AW41" t="str">
        <f t="shared" si="21"/>
        <v/>
      </c>
      <c r="AX41" t="str">
        <f t="shared" si="21"/>
        <v/>
      </c>
      <c r="AY41" t="str">
        <f t="shared" si="21"/>
        <v/>
      </c>
      <c r="AZ41" t="str">
        <f t="shared" si="21"/>
        <v/>
      </c>
      <c r="BA41" t="str">
        <f t="shared" si="21"/>
        <v/>
      </c>
      <c r="BB41" t="str">
        <f t="shared" si="21"/>
        <v/>
      </c>
      <c r="BC41" t="str">
        <f t="shared" si="21"/>
        <v/>
      </c>
      <c r="BD41" t="str">
        <f t="shared" ref="BD41:BM50" si="22">IF(AND($E41&lt;&gt;"",$F41&lt;&gt;"",BD$9&gt;=$E41,BD$9&lt;=$F41),"■","")</f>
        <v/>
      </c>
      <c r="BE41" t="str">
        <f t="shared" si="22"/>
        <v/>
      </c>
      <c r="BF41" t="str">
        <f t="shared" si="22"/>
        <v/>
      </c>
      <c r="BG41" t="str">
        <f t="shared" si="22"/>
        <v/>
      </c>
      <c r="BH41" t="str">
        <f t="shared" si="22"/>
        <v/>
      </c>
      <c r="BI41" t="str">
        <f t="shared" si="22"/>
        <v/>
      </c>
      <c r="BJ41" t="str">
        <f t="shared" si="22"/>
        <v/>
      </c>
      <c r="BK41" t="str">
        <f t="shared" si="22"/>
        <v/>
      </c>
      <c r="BL41" t="str">
        <f t="shared" si="22"/>
        <v/>
      </c>
      <c r="BM41" t="str">
        <f t="shared" si="22"/>
        <v/>
      </c>
      <c r="BN41" t="str">
        <f t="shared" ref="BN41:BW50" si="23">IF(AND($E41&lt;&gt;"",$F41&lt;&gt;"",BN$9&gt;=$E41,BN$9&lt;=$F41),"■","")</f>
        <v/>
      </c>
      <c r="BO41" t="str">
        <f t="shared" si="23"/>
        <v/>
      </c>
      <c r="BP41" t="str">
        <f t="shared" si="23"/>
        <v/>
      </c>
      <c r="BQ41" t="str">
        <f t="shared" si="23"/>
        <v/>
      </c>
      <c r="BR41" t="str">
        <f t="shared" si="23"/>
        <v/>
      </c>
      <c r="BS41" t="str">
        <f t="shared" si="23"/>
        <v/>
      </c>
      <c r="BT41" t="str">
        <f t="shared" si="23"/>
        <v/>
      </c>
      <c r="BU41" t="str">
        <f t="shared" si="23"/>
        <v/>
      </c>
      <c r="BV41" t="str">
        <f t="shared" si="23"/>
        <v/>
      </c>
      <c r="BW41" t="str">
        <f t="shared" si="23"/>
        <v/>
      </c>
    </row>
    <row r="42" spans="1:75" x14ac:dyDescent="0.25">
      <c r="A42" t="s">
        <v>80</v>
      </c>
      <c r="J42">
        <f>SUMIFS('Suivi Temps'!$D:$D,'Suivi Temps'!$A:$A,"P001-032")</f>
        <v>0</v>
      </c>
      <c r="P42" t="str">
        <f t="shared" si="18"/>
        <v/>
      </c>
      <c r="Q42" t="str">
        <f t="shared" si="18"/>
        <v/>
      </c>
      <c r="R42" t="str">
        <f t="shared" si="18"/>
        <v/>
      </c>
      <c r="S42" t="str">
        <f t="shared" si="18"/>
        <v/>
      </c>
      <c r="T42" t="str">
        <f t="shared" si="18"/>
        <v/>
      </c>
      <c r="U42" t="str">
        <f t="shared" si="18"/>
        <v/>
      </c>
      <c r="V42" t="str">
        <f t="shared" si="18"/>
        <v/>
      </c>
      <c r="W42" t="str">
        <f t="shared" si="18"/>
        <v/>
      </c>
      <c r="X42" t="str">
        <f t="shared" si="18"/>
        <v/>
      </c>
      <c r="Y42" t="str">
        <f t="shared" si="18"/>
        <v/>
      </c>
      <c r="Z42" t="str">
        <f t="shared" si="19"/>
        <v/>
      </c>
      <c r="AA42" t="str">
        <f t="shared" si="19"/>
        <v/>
      </c>
      <c r="AB42" t="str">
        <f t="shared" si="19"/>
        <v/>
      </c>
      <c r="AC42" t="str">
        <f t="shared" si="19"/>
        <v/>
      </c>
      <c r="AD42" t="str">
        <f t="shared" si="19"/>
        <v/>
      </c>
      <c r="AE42" t="str">
        <f t="shared" si="19"/>
        <v/>
      </c>
      <c r="AF42" t="str">
        <f t="shared" si="19"/>
        <v/>
      </c>
      <c r="AG42" t="str">
        <f t="shared" si="19"/>
        <v/>
      </c>
      <c r="AH42" t="str">
        <f t="shared" si="19"/>
        <v/>
      </c>
      <c r="AI42" t="str">
        <f t="shared" si="19"/>
        <v/>
      </c>
      <c r="AJ42" t="str">
        <f t="shared" si="20"/>
        <v/>
      </c>
      <c r="AK42" t="str">
        <f t="shared" si="20"/>
        <v/>
      </c>
      <c r="AL42" t="str">
        <f t="shared" si="20"/>
        <v/>
      </c>
      <c r="AM42" t="str">
        <f t="shared" si="20"/>
        <v/>
      </c>
      <c r="AN42" t="str">
        <f t="shared" si="20"/>
        <v/>
      </c>
      <c r="AO42" t="str">
        <f t="shared" si="20"/>
        <v/>
      </c>
      <c r="AP42" t="str">
        <f t="shared" si="20"/>
        <v/>
      </c>
      <c r="AQ42" t="str">
        <f t="shared" si="20"/>
        <v/>
      </c>
      <c r="AR42" t="str">
        <f t="shared" si="20"/>
        <v/>
      </c>
      <c r="AS42" t="str">
        <f t="shared" si="20"/>
        <v/>
      </c>
      <c r="AT42" t="str">
        <f t="shared" si="21"/>
        <v/>
      </c>
      <c r="AU42" t="str">
        <f t="shared" si="21"/>
        <v/>
      </c>
      <c r="AV42" t="str">
        <f t="shared" si="21"/>
        <v/>
      </c>
      <c r="AW42" t="str">
        <f t="shared" si="21"/>
        <v/>
      </c>
      <c r="AX42" t="str">
        <f t="shared" si="21"/>
        <v/>
      </c>
      <c r="AY42" t="str">
        <f t="shared" si="21"/>
        <v/>
      </c>
      <c r="AZ42" t="str">
        <f t="shared" si="21"/>
        <v/>
      </c>
      <c r="BA42" t="str">
        <f t="shared" si="21"/>
        <v/>
      </c>
      <c r="BB42" t="str">
        <f t="shared" si="21"/>
        <v/>
      </c>
      <c r="BC42" t="str">
        <f t="shared" si="21"/>
        <v/>
      </c>
      <c r="BD42" t="str">
        <f t="shared" si="22"/>
        <v/>
      </c>
      <c r="BE42" t="str">
        <f t="shared" si="22"/>
        <v/>
      </c>
      <c r="BF42" t="str">
        <f t="shared" si="22"/>
        <v/>
      </c>
      <c r="BG42" t="str">
        <f t="shared" si="22"/>
        <v/>
      </c>
      <c r="BH42" t="str">
        <f t="shared" si="22"/>
        <v/>
      </c>
      <c r="BI42" t="str">
        <f t="shared" si="22"/>
        <v/>
      </c>
      <c r="BJ42" t="str">
        <f t="shared" si="22"/>
        <v/>
      </c>
      <c r="BK42" t="str">
        <f t="shared" si="22"/>
        <v/>
      </c>
      <c r="BL42" t="str">
        <f t="shared" si="22"/>
        <v/>
      </c>
      <c r="BM42" t="str">
        <f t="shared" si="22"/>
        <v/>
      </c>
      <c r="BN42" t="str">
        <f t="shared" si="23"/>
        <v/>
      </c>
      <c r="BO42" t="str">
        <f t="shared" si="23"/>
        <v/>
      </c>
      <c r="BP42" t="str">
        <f t="shared" si="23"/>
        <v/>
      </c>
      <c r="BQ42" t="str">
        <f t="shared" si="23"/>
        <v/>
      </c>
      <c r="BR42" t="str">
        <f t="shared" si="23"/>
        <v/>
      </c>
      <c r="BS42" t="str">
        <f t="shared" si="23"/>
        <v/>
      </c>
      <c r="BT42" t="str">
        <f t="shared" si="23"/>
        <v/>
      </c>
      <c r="BU42" t="str">
        <f t="shared" si="23"/>
        <v/>
      </c>
      <c r="BV42" t="str">
        <f t="shared" si="23"/>
        <v/>
      </c>
      <c r="BW42" t="str">
        <f t="shared" si="23"/>
        <v/>
      </c>
    </row>
    <row r="43" spans="1:75" x14ac:dyDescent="0.25">
      <c r="A43" t="s">
        <v>81</v>
      </c>
      <c r="J43">
        <f>SUMIFS('Suivi Temps'!$D:$D,'Suivi Temps'!$A:$A,"P001-033")</f>
        <v>0</v>
      </c>
      <c r="P43" t="str">
        <f t="shared" si="18"/>
        <v/>
      </c>
      <c r="Q43" t="str">
        <f t="shared" si="18"/>
        <v/>
      </c>
      <c r="R43" t="str">
        <f t="shared" si="18"/>
        <v/>
      </c>
      <c r="S43" t="str">
        <f t="shared" si="18"/>
        <v/>
      </c>
      <c r="T43" t="str">
        <f t="shared" si="18"/>
        <v/>
      </c>
      <c r="U43" t="str">
        <f t="shared" si="18"/>
        <v/>
      </c>
      <c r="V43" t="str">
        <f t="shared" si="18"/>
        <v/>
      </c>
      <c r="W43" t="str">
        <f t="shared" si="18"/>
        <v/>
      </c>
      <c r="X43" t="str">
        <f t="shared" si="18"/>
        <v/>
      </c>
      <c r="Y43" t="str">
        <f t="shared" si="18"/>
        <v/>
      </c>
      <c r="Z43" t="str">
        <f t="shared" si="19"/>
        <v/>
      </c>
      <c r="AA43" t="str">
        <f t="shared" si="19"/>
        <v/>
      </c>
      <c r="AB43" t="str">
        <f t="shared" si="19"/>
        <v/>
      </c>
      <c r="AC43" t="str">
        <f t="shared" si="19"/>
        <v/>
      </c>
      <c r="AD43" t="str">
        <f t="shared" si="19"/>
        <v/>
      </c>
      <c r="AE43" t="str">
        <f t="shared" si="19"/>
        <v/>
      </c>
      <c r="AF43" t="str">
        <f t="shared" si="19"/>
        <v/>
      </c>
      <c r="AG43" t="str">
        <f t="shared" si="19"/>
        <v/>
      </c>
      <c r="AH43" t="str">
        <f t="shared" si="19"/>
        <v/>
      </c>
      <c r="AI43" t="str">
        <f t="shared" si="19"/>
        <v/>
      </c>
      <c r="AJ43" t="str">
        <f t="shared" si="20"/>
        <v/>
      </c>
      <c r="AK43" t="str">
        <f t="shared" si="20"/>
        <v/>
      </c>
      <c r="AL43" t="str">
        <f t="shared" si="20"/>
        <v/>
      </c>
      <c r="AM43" t="str">
        <f t="shared" si="20"/>
        <v/>
      </c>
      <c r="AN43" t="str">
        <f t="shared" si="20"/>
        <v/>
      </c>
      <c r="AO43" t="str">
        <f t="shared" si="20"/>
        <v/>
      </c>
      <c r="AP43" t="str">
        <f t="shared" si="20"/>
        <v/>
      </c>
      <c r="AQ43" t="str">
        <f t="shared" si="20"/>
        <v/>
      </c>
      <c r="AR43" t="str">
        <f t="shared" si="20"/>
        <v/>
      </c>
      <c r="AS43" t="str">
        <f t="shared" si="20"/>
        <v/>
      </c>
      <c r="AT43" t="str">
        <f t="shared" si="21"/>
        <v/>
      </c>
      <c r="AU43" t="str">
        <f t="shared" si="21"/>
        <v/>
      </c>
      <c r="AV43" t="str">
        <f t="shared" si="21"/>
        <v/>
      </c>
      <c r="AW43" t="str">
        <f t="shared" si="21"/>
        <v/>
      </c>
      <c r="AX43" t="str">
        <f t="shared" si="21"/>
        <v/>
      </c>
      <c r="AY43" t="str">
        <f t="shared" si="21"/>
        <v/>
      </c>
      <c r="AZ43" t="str">
        <f t="shared" si="21"/>
        <v/>
      </c>
      <c r="BA43" t="str">
        <f t="shared" si="21"/>
        <v/>
      </c>
      <c r="BB43" t="str">
        <f t="shared" si="21"/>
        <v/>
      </c>
      <c r="BC43" t="str">
        <f t="shared" si="21"/>
        <v/>
      </c>
      <c r="BD43" t="str">
        <f t="shared" si="22"/>
        <v/>
      </c>
      <c r="BE43" t="str">
        <f t="shared" si="22"/>
        <v/>
      </c>
      <c r="BF43" t="str">
        <f t="shared" si="22"/>
        <v/>
      </c>
      <c r="BG43" t="str">
        <f t="shared" si="22"/>
        <v/>
      </c>
      <c r="BH43" t="str">
        <f t="shared" si="22"/>
        <v/>
      </c>
      <c r="BI43" t="str">
        <f t="shared" si="22"/>
        <v/>
      </c>
      <c r="BJ43" t="str">
        <f t="shared" si="22"/>
        <v/>
      </c>
      <c r="BK43" t="str">
        <f t="shared" si="22"/>
        <v/>
      </c>
      <c r="BL43" t="str">
        <f t="shared" si="22"/>
        <v/>
      </c>
      <c r="BM43" t="str">
        <f t="shared" si="22"/>
        <v/>
      </c>
      <c r="BN43" t="str">
        <f t="shared" si="23"/>
        <v/>
      </c>
      <c r="BO43" t="str">
        <f t="shared" si="23"/>
        <v/>
      </c>
      <c r="BP43" t="str">
        <f t="shared" si="23"/>
        <v/>
      </c>
      <c r="BQ43" t="str">
        <f t="shared" si="23"/>
        <v/>
      </c>
      <c r="BR43" t="str">
        <f t="shared" si="23"/>
        <v/>
      </c>
      <c r="BS43" t="str">
        <f t="shared" si="23"/>
        <v/>
      </c>
      <c r="BT43" t="str">
        <f t="shared" si="23"/>
        <v/>
      </c>
      <c r="BU43" t="str">
        <f t="shared" si="23"/>
        <v/>
      </c>
      <c r="BV43" t="str">
        <f t="shared" si="23"/>
        <v/>
      </c>
      <c r="BW43" t="str">
        <f t="shared" si="23"/>
        <v/>
      </c>
    </row>
    <row r="44" spans="1:75" x14ac:dyDescent="0.25">
      <c r="A44" t="s">
        <v>82</v>
      </c>
      <c r="J44">
        <f>SUMIFS('Suivi Temps'!$D:$D,'Suivi Temps'!$A:$A,"P001-034")</f>
        <v>0</v>
      </c>
      <c r="P44" t="str">
        <f t="shared" si="18"/>
        <v/>
      </c>
      <c r="Q44" t="str">
        <f t="shared" si="18"/>
        <v/>
      </c>
      <c r="R44" t="str">
        <f t="shared" si="18"/>
        <v/>
      </c>
      <c r="S44" t="str">
        <f t="shared" si="18"/>
        <v/>
      </c>
      <c r="T44" t="str">
        <f t="shared" si="18"/>
        <v/>
      </c>
      <c r="U44" t="str">
        <f t="shared" si="18"/>
        <v/>
      </c>
      <c r="V44" t="str">
        <f t="shared" si="18"/>
        <v/>
      </c>
      <c r="W44" t="str">
        <f t="shared" si="18"/>
        <v/>
      </c>
      <c r="X44" t="str">
        <f t="shared" si="18"/>
        <v/>
      </c>
      <c r="Y44" t="str">
        <f t="shared" si="18"/>
        <v/>
      </c>
      <c r="Z44" t="str">
        <f t="shared" si="19"/>
        <v/>
      </c>
      <c r="AA44" t="str">
        <f t="shared" si="19"/>
        <v/>
      </c>
      <c r="AB44" t="str">
        <f t="shared" si="19"/>
        <v/>
      </c>
      <c r="AC44" t="str">
        <f t="shared" si="19"/>
        <v/>
      </c>
      <c r="AD44" t="str">
        <f t="shared" si="19"/>
        <v/>
      </c>
      <c r="AE44" t="str">
        <f t="shared" si="19"/>
        <v/>
      </c>
      <c r="AF44" t="str">
        <f t="shared" si="19"/>
        <v/>
      </c>
      <c r="AG44" t="str">
        <f t="shared" si="19"/>
        <v/>
      </c>
      <c r="AH44" t="str">
        <f t="shared" si="19"/>
        <v/>
      </c>
      <c r="AI44" t="str">
        <f t="shared" si="19"/>
        <v/>
      </c>
      <c r="AJ44" t="str">
        <f t="shared" si="20"/>
        <v/>
      </c>
      <c r="AK44" t="str">
        <f t="shared" si="20"/>
        <v/>
      </c>
      <c r="AL44" t="str">
        <f t="shared" si="20"/>
        <v/>
      </c>
      <c r="AM44" t="str">
        <f t="shared" si="20"/>
        <v/>
      </c>
      <c r="AN44" t="str">
        <f t="shared" si="20"/>
        <v/>
      </c>
      <c r="AO44" t="str">
        <f t="shared" si="20"/>
        <v/>
      </c>
      <c r="AP44" t="str">
        <f t="shared" si="20"/>
        <v/>
      </c>
      <c r="AQ44" t="str">
        <f t="shared" si="20"/>
        <v/>
      </c>
      <c r="AR44" t="str">
        <f t="shared" si="20"/>
        <v/>
      </c>
      <c r="AS44" t="str">
        <f t="shared" si="20"/>
        <v/>
      </c>
      <c r="AT44" t="str">
        <f t="shared" si="21"/>
        <v/>
      </c>
      <c r="AU44" t="str">
        <f t="shared" si="21"/>
        <v/>
      </c>
      <c r="AV44" t="str">
        <f t="shared" si="21"/>
        <v/>
      </c>
      <c r="AW44" t="str">
        <f t="shared" si="21"/>
        <v/>
      </c>
      <c r="AX44" t="str">
        <f t="shared" si="21"/>
        <v/>
      </c>
      <c r="AY44" t="str">
        <f t="shared" si="21"/>
        <v/>
      </c>
      <c r="AZ44" t="str">
        <f t="shared" si="21"/>
        <v/>
      </c>
      <c r="BA44" t="str">
        <f t="shared" si="21"/>
        <v/>
      </c>
      <c r="BB44" t="str">
        <f t="shared" si="21"/>
        <v/>
      </c>
      <c r="BC44" t="str">
        <f t="shared" si="21"/>
        <v/>
      </c>
      <c r="BD44" t="str">
        <f t="shared" si="22"/>
        <v/>
      </c>
      <c r="BE44" t="str">
        <f t="shared" si="22"/>
        <v/>
      </c>
      <c r="BF44" t="str">
        <f t="shared" si="22"/>
        <v/>
      </c>
      <c r="BG44" t="str">
        <f t="shared" si="22"/>
        <v/>
      </c>
      <c r="BH44" t="str">
        <f t="shared" si="22"/>
        <v/>
      </c>
      <c r="BI44" t="str">
        <f t="shared" si="22"/>
        <v/>
      </c>
      <c r="BJ44" t="str">
        <f t="shared" si="22"/>
        <v/>
      </c>
      <c r="BK44" t="str">
        <f t="shared" si="22"/>
        <v/>
      </c>
      <c r="BL44" t="str">
        <f t="shared" si="22"/>
        <v/>
      </c>
      <c r="BM44" t="str">
        <f t="shared" si="22"/>
        <v/>
      </c>
      <c r="BN44" t="str">
        <f t="shared" si="23"/>
        <v/>
      </c>
      <c r="BO44" t="str">
        <f t="shared" si="23"/>
        <v/>
      </c>
      <c r="BP44" t="str">
        <f t="shared" si="23"/>
        <v/>
      </c>
      <c r="BQ44" t="str">
        <f t="shared" si="23"/>
        <v/>
      </c>
      <c r="BR44" t="str">
        <f t="shared" si="23"/>
        <v/>
      </c>
      <c r="BS44" t="str">
        <f t="shared" si="23"/>
        <v/>
      </c>
      <c r="BT44" t="str">
        <f t="shared" si="23"/>
        <v/>
      </c>
      <c r="BU44" t="str">
        <f t="shared" si="23"/>
        <v/>
      </c>
      <c r="BV44" t="str">
        <f t="shared" si="23"/>
        <v/>
      </c>
      <c r="BW44" t="str">
        <f t="shared" si="23"/>
        <v/>
      </c>
    </row>
    <row r="45" spans="1:75" x14ac:dyDescent="0.25">
      <c r="A45" t="s">
        <v>83</v>
      </c>
      <c r="J45">
        <f>SUMIFS('Suivi Temps'!$D:$D,'Suivi Temps'!$A:$A,"P001-035")</f>
        <v>0</v>
      </c>
      <c r="P45" t="str">
        <f t="shared" si="18"/>
        <v/>
      </c>
      <c r="Q45" t="str">
        <f t="shared" si="18"/>
        <v/>
      </c>
      <c r="R45" t="str">
        <f t="shared" si="18"/>
        <v/>
      </c>
      <c r="S45" t="str">
        <f t="shared" si="18"/>
        <v/>
      </c>
      <c r="T45" t="str">
        <f t="shared" si="18"/>
        <v/>
      </c>
      <c r="U45" t="str">
        <f t="shared" si="18"/>
        <v/>
      </c>
      <c r="V45" t="str">
        <f t="shared" si="18"/>
        <v/>
      </c>
      <c r="W45" t="str">
        <f t="shared" si="18"/>
        <v/>
      </c>
      <c r="X45" t="str">
        <f t="shared" si="18"/>
        <v/>
      </c>
      <c r="Y45" t="str">
        <f t="shared" si="18"/>
        <v/>
      </c>
      <c r="Z45" t="str">
        <f t="shared" si="19"/>
        <v/>
      </c>
      <c r="AA45" t="str">
        <f t="shared" si="19"/>
        <v/>
      </c>
      <c r="AB45" t="str">
        <f t="shared" si="19"/>
        <v/>
      </c>
      <c r="AC45" t="str">
        <f t="shared" si="19"/>
        <v/>
      </c>
      <c r="AD45" t="str">
        <f t="shared" si="19"/>
        <v/>
      </c>
      <c r="AE45" t="str">
        <f t="shared" si="19"/>
        <v/>
      </c>
      <c r="AF45" t="str">
        <f t="shared" si="19"/>
        <v/>
      </c>
      <c r="AG45" t="str">
        <f t="shared" si="19"/>
        <v/>
      </c>
      <c r="AH45" t="str">
        <f t="shared" si="19"/>
        <v/>
      </c>
      <c r="AI45" t="str">
        <f t="shared" si="19"/>
        <v/>
      </c>
      <c r="AJ45" t="str">
        <f t="shared" si="20"/>
        <v/>
      </c>
      <c r="AK45" t="str">
        <f t="shared" si="20"/>
        <v/>
      </c>
      <c r="AL45" t="str">
        <f t="shared" si="20"/>
        <v/>
      </c>
      <c r="AM45" t="str">
        <f t="shared" si="20"/>
        <v/>
      </c>
      <c r="AN45" t="str">
        <f t="shared" si="20"/>
        <v/>
      </c>
      <c r="AO45" t="str">
        <f t="shared" si="20"/>
        <v/>
      </c>
      <c r="AP45" t="str">
        <f t="shared" si="20"/>
        <v/>
      </c>
      <c r="AQ45" t="str">
        <f t="shared" si="20"/>
        <v/>
      </c>
      <c r="AR45" t="str">
        <f t="shared" si="20"/>
        <v/>
      </c>
      <c r="AS45" t="str">
        <f t="shared" si="20"/>
        <v/>
      </c>
      <c r="AT45" t="str">
        <f t="shared" si="21"/>
        <v/>
      </c>
      <c r="AU45" t="str">
        <f t="shared" si="21"/>
        <v/>
      </c>
      <c r="AV45" t="str">
        <f t="shared" si="21"/>
        <v/>
      </c>
      <c r="AW45" t="str">
        <f t="shared" si="21"/>
        <v/>
      </c>
      <c r="AX45" t="str">
        <f t="shared" si="21"/>
        <v/>
      </c>
      <c r="AY45" t="str">
        <f t="shared" si="21"/>
        <v/>
      </c>
      <c r="AZ45" t="str">
        <f t="shared" si="21"/>
        <v/>
      </c>
      <c r="BA45" t="str">
        <f t="shared" si="21"/>
        <v/>
      </c>
      <c r="BB45" t="str">
        <f t="shared" si="21"/>
        <v/>
      </c>
      <c r="BC45" t="str">
        <f t="shared" si="21"/>
        <v/>
      </c>
      <c r="BD45" t="str">
        <f t="shared" si="22"/>
        <v/>
      </c>
      <c r="BE45" t="str">
        <f t="shared" si="22"/>
        <v/>
      </c>
      <c r="BF45" t="str">
        <f t="shared" si="22"/>
        <v/>
      </c>
      <c r="BG45" t="str">
        <f t="shared" si="22"/>
        <v/>
      </c>
      <c r="BH45" t="str">
        <f t="shared" si="22"/>
        <v/>
      </c>
      <c r="BI45" t="str">
        <f t="shared" si="22"/>
        <v/>
      </c>
      <c r="BJ45" t="str">
        <f t="shared" si="22"/>
        <v/>
      </c>
      <c r="BK45" t="str">
        <f t="shared" si="22"/>
        <v/>
      </c>
      <c r="BL45" t="str">
        <f t="shared" si="22"/>
        <v/>
      </c>
      <c r="BM45" t="str">
        <f t="shared" si="22"/>
        <v/>
      </c>
      <c r="BN45" t="str">
        <f t="shared" si="23"/>
        <v/>
      </c>
      <c r="BO45" t="str">
        <f t="shared" si="23"/>
        <v/>
      </c>
      <c r="BP45" t="str">
        <f t="shared" si="23"/>
        <v/>
      </c>
      <c r="BQ45" t="str">
        <f t="shared" si="23"/>
        <v/>
      </c>
      <c r="BR45" t="str">
        <f t="shared" si="23"/>
        <v/>
      </c>
      <c r="BS45" t="str">
        <f t="shared" si="23"/>
        <v/>
      </c>
      <c r="BT45" t="str">
        <f t="shared" si="23"/>
        <v/>
      </c>
      <c r="BU45" t="str">
        <f t="shared" si="23"/>
        <v/>
      </c>
      <c r="BV45" t="str">
        <f t="shared" si="23"/>
        <v/>
      </c>
      <c r="BW45" t="str">
        <f t="shared" si="23"/>
        <v/>
      </c>
    </row>
    <row r="46" spans="1:75" x14ac:dyDescent="0.25">
      <c r="A46" t="s">
        <v>84</v>
      </c>
      <c r="J46">
        <f>SUMIFS('Suivi Temps'!$D:$D,'Suivi Temps'!$A:$A,"P001-036")</f>
        <v>0</v>
      </c>
      <c r="P46" t="str">
        <f t="shared" si="18"/>
        <v/>
      </c>
      <c r="Q46" t="str">
        <f t="shared" si="18"/>
        <v/>
      </c>
      <c r="R46" t="str">
        <f t="shared" si="18"/>
        <v/>
      </c>
      <c r="S46" t="str">
        <f t="shared" si="18"/>
        <v/>
      </c>
      <c r="T46" t="str">
        <f t="shared" si="18"/>
        <v/>
      </c>
      <c r="U46" t="str">
        <f t="shared" si="18"/>
        <v/>
      </c>
      <c r="V46" t="str">
        <f t="shared" si="18"/>
        <v/>
      </c>
      <c r="W46" t="str">
        <f t="shared" si="18"/>
        <v/>
      </c>
      <c r="X46" t="str">
        <f t="shared" si="18"/>
        <v/>
      </c>
      <c r="Y46" t="str">
        <f t="shared" si="18"/>
        <v/>
      </c>
      <c r="Z46" t="str">
        <f t="shared" si="19"/>
        <v/>
      </c>
      <c r="AA46" t="str">
        <f t="shared" si="19"/>
        <v/>
      </c>
      <c r="AB46" t="str">
        <f t="shared" si="19"/>
        <v/>
      </c>
      <c r="AC46" t="str">
        <f t="shared" si="19"/>
        <v/>
      </c>
      <c r="AD46" t="str">
        <f t="shared" si="19"/>
        <v/>
      </c>
      <c r="AE46" t="str">
        <f t="shared" si="19"/>
        <v/>
      </c>
      <c r="AF46" t="str">
        <f t="shared" si="19"/>
        <v/>
      </c>
      <c r="AG46" t="str">
        <f t="shared" si="19"/>
        <v/>
      </c>
      <c r="AH46" t="str">
        <f t="shared" si="19"/>
        <v/>
      </c>
      <c r="AI46" t="str">
        <f t="shared" si="19"/>
        <v/>
      </c>
      <c r="AJ46" t="str">
        <f t="shared" si="20"/>
        <v/>
      </c>
      <c r="AK46" t="str">
        <f t="shared" si="20"/>
        <v/>
      </c>
      <c r="AL46" t="str">
        <f t="shared" si="20"/>
        <v/>
      </c>
      <c r="AM46" t="str">
        <f t="shared" si="20"/>
        <v/>
      </c>
      <c r="AN46" t="str">
        <f t="shared" si="20"/>
        <v/>
      </c>
      <c r="AO46" t="str">
        <f t="shared" si="20"/>
        <v/>
      </c>
      <c r="AP46" t="str">
        <f t="shared" si="20"/>
        <v/>
      </c>
      <c r="AQ46" t="str">
        <f t="shared" si="20"/>
        <v/>
      </c>
      <c r="AR46" t="str">
        <f t="shared" si="20"/>
        <v/>
      </c>
      <c r="AS46" t="str">
        <f t="shared" si="20"/>
        <v/>
      </c>
      <c r="AT46" t="str">
        <f t="shared" si="21"/>
        <v/>
      </c>
      <c r="AU46" t="str">
        <f t="shared" si="21"/>
        <v/>
      </c>
      <c r="AV46" t="str">
        <f t="shared" si="21"/>
        <v/>
      </c>
      <c r="AW46" t="str">
        <f t="shared" si="21"/>
        <v/>
      </c>
      <c r="AX46" t="str">
        <f t="shared" si="21"/>
        <v/>
      </c>
      <c r="AY46" t="str">
        <f t="shared" si="21"/>
        <v/>
      </c>
      <c r="AZ46" t="str">
        <f t="shared" si="21"/>
        <v/>
      </c>
      <c r="BA46" t="str">
        <f t="shared" si="21"/>
        <v/>
      </c>
      <c r="BB46" t="str">
        <f t="shared" si="21"/>
        <v/>
      </c>
      <c r="BC46" t="str">
        <f t="shared" si="21"/>
        <v/>
      </c>
      <c r="BD46" t="str">
        <f t="shared" si="22"/>
        <v/>
      </c>
      <c r="BE46" t="str">
        <f t="shared" si="22"/>
        <v/>
      </c>
      <c r="BF46" t="str">
        <f t="shared" si="22"/>
        <v/>
      </c>
      <c r="BG46" t="str">
        <f t="shared" si="22"/>
        <v/>
      </c>
      <c r="BH46" t="str">
        <f t="shared" si="22"/>
        <v/>
      </c>
      <c r="BI46" t="str">
        <f t="shared" si="22"/>
        <v/>
      </c>
      <c r="BJ46" t="str">
        <f t="shared" si="22"/>
        <v/>
      </c>
      <c r="BK46" t="str">
        <f t="shared" si="22"/>
        <v/>
      </c>
      <c r="BL46" t="str">
        <f t="shared" si="22"/>
        <v/>
      </c>
      <c r="BM46" t="str">
        <f t="shared" si="22"/>
        <v/>
      </c>
      <c r="BN46" t="str">
        <f t="shared" si="23"/>
        <v/>
      </c>
      <c r="BO46" t="str">
        <f t="shared" si="23"/>
        <v/>
      </c>
      <c r="BP46" t="str">
        <f t="shared" si="23"/>
        <v/>
      </c>
      <c r="BQ46" t="str">
        <f t="shared" si="23"/>
        <v/>
      </c>
      <c r="BR46" t="str">
        <f t="shared" si="23"/>
        <v/>
      </c>
      <c r="BS46" t="str">
        <f t="shared" si="23"/>
        <v/>
      </c>
      <c r="BT46" t="str">
        <f t="shared" si="23"/>
        <v/>
      </c>
      <c r="BU46" t="str">
        <f t="shared" si="23"/>
        <v/>
      </c>
      <c r="BV46" t="str">
        <f t="shared" si="23"/>
        <v/>
      </c>
      <c r="BW46" t="str">
        <f t="shared" si="23"/>
        <v/>
      </c>
    </row>
    <row r="47" spans="1:75" x14ac:dyDescent="0.25">
      <c r="A47" t="s">
        <v>85</v>
      </c>
      <c r="J47">
        <f>SUMIFS('Suivi Temps'!$D:$D,'Suivi Temps'!$A:$A,"P001-037")</f>
        <v>0</v>
      </c>
      <c r="P47" t="str">
        <f t="shared" si="18"/>
        <v/>
      </c>
      <c r="Q47" t="str">
        <f t="shared" si="18"/>
        <v/>
      </c>
      <c r="R47" t="str">
        <f t="shared" si="18"/>
        <v/>
      </c>
      <c r="S47" t="str">
        <f t="shared" si="18"/>
        <v/>
      </c>
      <c r="T47" t="str">
        <f t="shared" si="18"/>
        <v/>
      </c>
      <c r="U47" t="str">
        <f t="shared" si="18"/>
        <v/>
      </c>
      <c r="V47" t="str">
        <f t="shared" si="18"/>
        <v/>
      </c>
      <c r="W47" t="str">
        <f t="shared" si="18"/>
        <v/>
      </c>
      <c r="X47" t="str">
        <f t="shared" si="18"/>
        <v/>
      </c>
      <c r="Y47" t="str">
        <f t="shared" si="18"/>
        <v/>
      </c>
      <c r="Z47" t="str">
        <f t="shared" si="19"/>
        <v/>
      </c>
      <c r="AA47" t="str">
        <f t="shared" si="19"/>
        <v/>
      </c>
      <c r="AB47" t="str">
        <f t="shared" si="19"/>
        <v/>
      </c>
      <c r="AC47" t="str">
        <f t="shared" si="19"/>
        <v/>
      </c>
      <c r="AD47" t="str">
        <f t="shared" si="19"/>
        <v/>
      </c>
      <c r="AE47" t="str">
        <f t="shared" si="19"/>
        <v/>
      </c>
      <c r="AF47" t="str">
        <f t="shared" si="19"/>
        <v/>
      </c>
      <c r="AG47" t="str">
        <f t="shared" si="19"/>
        <v/>
      </c>
      <c r="AH47" t="str">
        <f t="shared" si="19"/>
        <v/>
      </c>
      <c r="AI47" t="str">
        <f t="shared" si="19"/>
        <v/>
      </c>
      <c r="AJ47" t="str">
        <f t="shared" si="20"/>
        <v/>
      </c>
      <c r="AK47" t="str">
        <f t="shared" si="20"/>
        <v/>
      </c>
      <c r="AL47" t="str">
        <f t="shared" si="20"/>
        <v/>
      </c>
      <c r="AM47" t="str">
        <f t="shared" si="20"/>
        <v/>
      </c>
      <c r="AN47" t="str">
        <f t="shared" si="20"/>
        <v/>
      </c>
      <c r="AO47" t="str">
        <f t="shared" si="20"/>
        <v/>
      </c>
      <c r="AP47" t="str">
        <f t="shared" si="20"/>
        <v/>
      </c>
      <c r="AQ47" t="str">
        <f t="shared" si="20"/>
        <v/>
      </c>
      <c r="AR47" t="str">
        <f t="shared" si="20"/>
        <v/>
      </c>
      <c r="AS47" t="str">
        <f t="shared" si="20"/>
        <v/>
      </c>
      <c r="AT47" t="str">
        <f t="shared" si="21"/>
        <v/>
      </c>
      <c r="AU47" t="str">
        <f t="shared" si="21"/>
        <v/>
      </c>
      <c r="AV47" t="str">
        <f t="shared" si="21"/>
        <v/>
      </c>
      <c r="AW47" t="str">
        <f t="shared" si="21"/>
        <v/>
      </c>
      <c r="AX47" t="str">
        <f t="shared" si="21"/>
        <v/>
      </c>
      <c r="AY47" t="str">
        <f t="shared" si="21"/>
        <v/>
      </c>
      <c r="AZ47" t="str">
        <f t="shared" si="21"/>
        <v/>
      </c>
      <c r="BA47" t="str">
        <f t="shared" si="21"/>
        <v/>
      </c>
      <c r="BB47" t="str">
        <f t="shared" si="21"/>
        <v/>
      </c>
      <c r="BC47" t="str">
        <f t="shared" si="21"/>
        <v/>
      </c>
      <c r="BD47" t="str">
        <f t="shared" si="22"/>
        <v/>
      </c>
      <c r="BE47" t="str">
        <f t="shared" si="22"/>
        <v/>
      </c>
      <c r="BF47" t="str">
        <f t="shared" si="22"/>
        <v/>
      </c>
      <c r="BG47" t="str">
        <f t="shared" si="22"/>
        <v/>
      </c>
      <c r="BH47" t="str">
        <f t="shared" si="22"/>
        <v/>
      </c>
      <c r="BI47" t="str">
        <f t="shared" si="22"/>
        <v/>
      </c>
      <c r="BJ47" t="str">
        <f t="shared" si="22"/>
        <v/>
      </c>
      <c r="BK47" t="str">
        <f t="shared" si="22"/>
        <v/>
      </c>
      <c r="BL47" t="str">
        <f t="shared" si="22"/>
        <v/>
      </c>
      <c r="BM47" t="str">
        <f t="shared" si="22"/>
        <v/>
      </c>
      <c r="BN47" t="str">
        <f t="shared" si="23"/>
        <v/>
      </c>
      <c r="BO47" t="str">
        <f t="shared" si="23"/>
        <v/>
      </c>
      <c r="BP47" t="str">
        <f t="shared" si="23"/>
        <v/>
      </c>
      <c r="BQ47" t="str">
        <f t="shared" si="23"/>
        <v/>
      </c>
      <c r="BR47" t="str">
        <f t="shared" si="23"/>
        <v/>
      </c>
      <c r="BS47" t="str">
        <f t="shared" si="23"/>
        <v/>
      </c>
      <c r="BT47" t="str">
        <f t="shared" si="23"/>
        <v/>
      </c>
      <c r="BU47" t="str">
        <f t="shared" si="23"/>
        <v/>
      </c>
      <c r="BV47" t="str">
        <f t="shared" si="23"/>
        <v/>
      </c>
      <c r="BW47" t="str">
        <f t="shared" si="23"/>
        <v/>
      </c>
    </row>
    <row r="48" spans="1:75" x14ac:dyDescent="0.25">
      <c r="A48" t="s">
        <v>86</v>
      </c>
      <c r="J48">
        <f>SUMIFS('Suivi Temps'!$D:$D,'Suivi Temps'!$A:$A,"P001-038")</f>
        <v>0</v>
      </c>
      <c r="P48" t="str">
        <f t="shared" si="18"/>
        <v/>
      </c>
      <c r="Q48" t="str">
        <f t="shared" si="18"/>
        <v/>
      </c>
      <c r="R48" t="str">
        <f t="shared" si="18"/>
        <v/>
      </c>
      <c r="S48" t="str">
        <f t="shared" si="18"/>
        <v/>
      </c>
      <c r="T48" t="str">
        <f t="shared" si="18"/>
        <v/>
      </c>
      <c r="U48" t="str">
        <f t="shared" si="18"/>
        <v/>
      </c>
      <c r="V48" t="str">
        <f t="shared" si="18"/>
        <v/>
      </c>
      <c r="W48" t="str">
        <f t="shared" si="18"/>
        <v/>
      </c>
      <c r="X48" t="str">
        <f t="shared" si="18"/>
        <v/>
      </c>
      <c r="Y48" t="str">
        <f t="shared" si="18"/>
        <v/>
      </c>
      <c r="Z48" t="str">
        <f t="shared" si="19"/>
        <v/>
      </c>
      <c r="AA48" t="str">
        <f t="shared" si="19"/>
        <v/>
      </c>
      <c r="AB48" t="str">
        <f t="shared" si="19"/>
        <v/>
      </c>
      <c r="AC48" t="str">
        <f t="shared" si="19"/>
        <v/>
      </c>
      <c r="AD48" t="str">
        <f t="shared" si="19"/>
        <v/>
      </c>
      <c r="AE48" t="str">
        <f t="shared" si="19"/>
        <v/>
      </c>
      <c r="AF48" t="str">
        <f t="shared" si="19"/>
        <v/>
      </c>
      <c r="AG48" t="str">
        <f t="shared" si="19"/>
        <v/>
      </c>
      <c r="AH48" t="str">
        <f t="shared" si="19"/>
        <v/>
      </c>
      <c r="AI48" t="str">
        <f t="shared" si="19"/>
        <v/>
      </c>
      <c r="AJ48" t="str">
        <f t="shared" si="20"/>
        <v/>
      </c>
      <c r="AK48" t="str">
        <f t="shared" si="20"/>
        <v/>
      </c>
      <c r="AL48" t="str">
        <f t="shared" si="20"/>
        <v/>
      </c>
      <c r="AM48" t="str">
        <f t="shared" si="20"/>
        <v/>
      </c>
      <c r="AN48" t="str">
        <f t="shared" si="20"/>
        <v/>
      </c>
      <c r="AO48" t="str">
        <f t="shared" si="20"/>
        <v/>
      </c>
      <c r="AP48" t="str">
        <f t="shared" si="20"/>
        <v/>
      </c>
      <c r="AQ48" t="str">
        <f t="shared" si="20"/>
        <v/>
      </c>
      <c r="AR48" t="str">
        <f t="shared" si="20"/>
        <v/>
      </c>
      <c r="AS48" t="str">
        <f t="shared" si="20"/>
        <v/>
      </c>
      <c r="AT48" t="str">
        <f t="shared" si="21"/>
        <v/>
      </c>
      <c r="AU48" t="str">
        <f t="shared" si="21"/>
        <v/>
      </c>
      <c r="AV48" t="str">
        <f t="shared" si="21"/>
        <v/>
      </c>
      <c r="AW48" t="str">
        <f t="shared" si="21"/>
        <v/>
      </c>
      <c r="AX48" t="str">
        <f t="shared" si="21"/>
        <v/>
      </c>
      <c r="AY48" t="str">
        <f t="shared" si="21"/>
        <v/>
      </c>
      <c r="AZ48" t="str">
        <f t="shared" si="21"/>
        <v/>
      </c>
      <c r="BA48" t="str">
        <f t="shared" si="21"/>
        <v/>
      </c>
      <c r="BB48" t="str">
        <f t="shared" si="21"/>
        <v/>
      </c>
      <c r="BC48" t="str">
        <f t="shared" si="21"/>
        <v/>
      </c>
      <c r="BD48" t="str">
        <f t="shared" si="22"/>
        <v/>
      </c>
      <c r="BE48" t="str">
        <f t="shared" si="22"/>
        <v/>
      </c>
      <c r="BF48" t="str">
        <f t="shared" si="22"/>
        <v/>
      </c>
      <c r="BG48" t="str">
        <f t="shared" si="22"/>
        <v/>
      </c>
      <c r="BH48" t="str">
        <f t="shared" si="22"/>
        <v/>
      </c>
      <c r="BI48" t="str">
        <f t="shared" si="22"/>
        <v/>
      </c>
      <c r="BJ48" t="str">
        <f t="shared" si="22"/>
        <v/>
      </c>
      <c r="BK48" t="str">
        <f t="shared" si="22"/>
        <v/>
      </c>
      <c r="BL48" t="str">
        <f t="shared" si="22"/>
        <v/>
      </c>
      <c r="BM48" t="str">
        <f t="shared" si="22"/>
        <v/>
      </c>
      <c r="BN48" t="str">
        <f t="shared" si="23"/>
        <v/>
      </c>
      <c r="BO48" t="str">
        <f t="shared" si="23"/>
        <v/>
      </c>
      <c r="BP48" t="str">
        <f t="shared" si="23"/>
        <v/>
      </c>
      <c r="BQ48" t="str">
        <f t="shared" si="23"/>
        <v/>
      </c>
      <c r="BR48" t="str">
        <f t="shared" si="23"/>
        <v/>
      </c>
      <c r="BS48" t="str">
        <f t="shared" si="23"/>
        <v/>
      </c>
      <c r="BT48" t="str">
        <f t="shared" si="23"/>
        <v/>
      </c>
      <c r="BU48" t="str">
        <f t="shared" si="23"/>
        <v/>
      </c>
      <c r="BV48" t="str">
        <f t="shared" si="23"/>
        <v/>
      </c>
      <c r="BW48" t="str">
        <f t="shared" si="23"/>
        <v/>
      </c>
    </row>
    <row r="49" spans="1:75" x14ac:dyDescent="0.25">
      <c r="A49" t="s">
        <v>87</v>
      </c>
      <c r="J49">
        <f>SUMIFS('Suivi Temps'!$D:$D,'Suivi Temps'!$A:$A,"P001-039")</f>
        <v>0</v>
      </c>
      <c r="P49" t="str">
        <f t="shared" si="18"/>
        <v/>
      </c>
      <c r="Q49" t="str">
        <f t="shared" si="18"/>
        <v/>
      </c>
      <c r="R49" t="str">
        <f t="shared" si="18"/>
        <v/>
      </c>
      <c r="S49" t="str">
        <f t="shared" si="18"/>
        <v/>
      </c>
      <c r="T49" t="str">
        <f t="shared" si="18"/>
        <v/>
      </c>
      <c r="U49" t="str">
        <f t="shared" si="18"/>
        <v/>
      </c>
      <c r="V49" t="str">
        <f t="shared" si="18"/>
        <v/>
      </c>
      <c r="W49" t="str">
        <f t="shared" si="18"/>
        <v/>
      </c>
      <c r="X49" t="str">
        <f t="shared" si="18"/>
        <v/>
      </c>
      <c r="Y49" t="str">
        <f t="shared" si="18"/>
        <v/>
      </c>
      <c r="Z49" t="str">
        <f t="shared" si="19"/>
        <v/>
      </c>
      <c r="AA49" t="str">
        <f t="shared" si="19"/>
        <v/>
      </c>
      <c r="AB49" t="str">
        <f t="shared" si="19"/>
        <v/>
      </c>
      <c r="AC49" t="str">
        <f t="shared" si="19"/>
        <v/>
      </c>
      <c r="AD49" t="str">
        <f t="shared" si="19"/>
        <v/>
      </c>
      <c r="AE49" t="str">
        <f t="shared" si="19"/>
        <v/>
      </c>
      <c r="AF49" t="str">
        <f t="shared" si="19"/>
        <v/>
      </c>
      <c r="AG49" t="str">
        <f t="shared" si="19"/>
        <v/>
      </c>
      <c r="AH49" t="str">
        <f t="shared" si="19"/>
        <v/>
      </c>
      <c r="AI49" t="str">
        <f t="shared" si="19"/>
        <v/>
      </c>
      <c r="AJ49" t="str">
        <f t="shared" si="20"/>
        <v/>
      </c>
      <c r="AK49" t="str">
        <f t="shared" si="20"/>
        <v/>
      </c>
      <c r="AL49" t="str">
        <f t="shared" si="20"/>
        <v/>
      </c>
      <c r="AM49" t="str">
        <f t="shared" si="20"/>
        <v/>
      </c>
      <c r="AN49" t="str">
        <f t="shared" si="20"/>
        <v/>
      </c>
      <c r="AO49" t="str">
        <f t="shared" si="20"/>
        <v/>
      </c>
      <c r="AP49" t="str">
        <f t="shared" si="20"/>
        <v/>
      </c>
      <c r="AQ49" t="str">
        <f t="shared" si="20"/>
        <v/>
      </c>
      <c r="AR49" t="str">
        <f t="shared" si="20"/>
        <v/>
      </c>
      <c r="AS49" t="str">
        <f t="shared" si="20"/>
        <v/>
      </c>
      <c r="AT49" t="str">
        <f t="shared" si="21"/>
        <v/>
      </c>
      <c r="AU49" t="str">
        <f t="shared" si="21"/>
        <v/>
      </c>
      <c r="AV49" t="str">
        <f t="shared" si="21"/>
        <v/>
      </c>
      <c r="AW49" t="str">
        <f t="shared" si="21"/>
        <v/>
      </c>
      <c r="AX49" t="str">
        <f t="shared" si="21"/>
        <v/>
      </c>
      <c r="AY49" t="str">
        <f t="shared" si="21"/>
        <v/>
      </c>
      <c r="AZ49" t="str">
        <f t="shared" si="21"/>
        <v/>
      </c>
      <c r="BA49" t="str">
        <f t="shared" si="21"/>
        <v/>
      </c>
      <c r="BB49" t="str">
        <f t="shared" si="21"/>
        <v/>
      </c>
      <c r="BC49" t="str">
        <f t="shared" si="21"/>
        <v/>
      </c>
      <c r="BD49" t="str">
        <f t="shared" si="22"/>
        <v/>
      </c>
      <c r="BE49" t="str">
        <f t="shared" si="22"/>
        <v/>
      </c>
      <c r="BF49" t="str">
        <f t="shared" si="22"/>
        <v/>
      </c>
      <c r="BG49" t="str">
        <f t="shared" si="22"/>
        <v/>
      </c>
      <c r="BH49" t="str">
        <f t="shared" si="22"/>
        <v/>
      </c>
      <c r="BI49" t="str">
        <f t="shared" si="22"/>
        <v/>
      </c>
      <c r="BJ49" t="str">
        <f t="shared" si="22"/>
        <v/>
      </c>
      <c r="BK49" t="str">
        <f t="shared" si="22"/>
        <v/>
      </c>
      <c r="BL49" t="str">
        <f t="shared" si="22"/>
        <v/>
      </c>
      <c r="BM49" t="str">
        <f t="shared" si="22"/>
        <v/>
      </c>
      <c r="BN49" t="str">
        <f t="shared" si="23"/>
        <v/>
      </c>
      <c r="BO49" t="str">
        <f t="shared" si="23"/>
        <v/>
      </c>
      <c r="BP49" t="str">
        <f t="shared" si="23"/>
        <v/>
      </c>
      <c r="BQ49" t="str">
        <f t="shared" si="23"/>
        <v/>
      </c>
      <c r="BR49" t="str">
        <f t="shared" si="23"/>
        <v/>
      </c>
      <c r="BS49" t="str">
        <f t="shared" si="23"/>
        <v/>
      </c>
      <c r="BT49" t="str">
        <f t="shared" si="23"/>
        <v/>
      </c>
      <c r="BU49" t="str">
        <f t="shared" si="23"/>
        <v/>
      </c>
      <c r="BV49" t="str">
        <f t="shared" si="23"/>
        <v/>
      </c>
      <c r="BW49" t="str">
        <f t="shared" si="23"/>
        <v/>
      </c>
    </row>
    <row r="50" spans="1:75" x14ac:dyDescent="0.25">
      <c r="A50" t="s">
        <v>88</v>
      </c>
      <c r="J50">
        <f>SUMIFS('Suivi Temps'!$D:$D,'Suivi Temps'!$A:$A,"P001-040")</f>
        <v>0</v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9"/>
        <v/>
      </c>
      <c r="AA50" t="str">
        <f t="shared" si="19"/>
        <v/>
      </c>
      <c r="AB50" t="str">
        <f t="shared" si="19"/>
        <v/>
      </c>
      <c r="AC50" t="str">
        <f t="shared" si="19"/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20"/>
        <v/>
      </c>
      <c r="AK50" t="str">
        <f t="shared" si="20"/>
        <v/>
      </c>
      <c r="AL50" t="str">
        <f t="shared" si="20"/>
        <v/>
      </c>
      <c r="AM50" t="str">
        <f t="shared" si="20"/>
        <v/>
      </c>
      <c r="AN50" t="str">
        <f t="shared" si="20"/>
        <v/>
      </c>
      <c r="AO50" t="str">
        <f t="shared" si="20"/>
        <v/>
      </c>
      <c r="AP50" t="str">
        <f t="shared" si="20"/>
        <v/>
      </c>
      <c r="AQ50" t="str">
        <f t="shared" si="20"/>
        <v/>
      </c>
      <c r="AR50" t="str">
        <f t="shared" si="20"/>
        <v/>
      </c>
      <c r="AS50" t="str">
        <f t="shared" si="20"/>
        <v/>
      </c>
      <c r="AT50" t="str">
        <f t="shared" si="21"/>
        <v/>
      </c>
      <c r="AU50" t="str">
        <f t="shared" si="21"/>
        <v/>
      </c>
      <c r="AV50" t="str">
        <f t="shared" si="21"/>
        <v/>
      </c>
      <c r="AW50" t="str">
        <f t="shared" si="21"/>
        <v/>
      </c>
      <c r="AX50" t="str">
        <f t="shared" si="21"/>
        <v/>
      </c>
      <c r="AY50" t="str">
        <f t="shared" si="21"/>
        <v/>
      </c>
      <c r="AZ50" t="str">
        <f t="shared" si="21"/>
        <v/>
      </c>
      <c r="BA50" t="str">
        <f t="shared" si="21"/>
        <v/>
      </c>
      <c r="BB50" t="str">
        <f t="shared" si="21"/>
        <v/>
      </c>
      <c r="BC50" t="str">
        <f t="shared" si="21"/>
        <v/>
      </c>
      <c r="BD50" t="str">
        <f t="shared" si="22"/>
        <v/>
      </c>
      <c r="BE50" t="str">
        <f t="shared" si="22"/>
        <v/>
      </c>
      <c r="BF50" t="str">
        <f t="shared" si="22"/>
        <v/>
      </c>
      <c r="BG50" t="str">
        <f t="shared" si="22"/>
        <v/>
      </c>
      <c r="BH50" t="str">
        <f t="shared" si="22"/>
        <v/>
      </c>
      <c r="BI50" t="str">
        <f t="shared" si="22"/>
        <v/>
      </c>
      <c r="BJ50" t="str">
        <f t="shared" si="22"/>
        <v/>
      </c>
      <c r="BK50" t="str">
        <f t="shared" si="22"/>
        <v/>
      </c>
      <c r="BL50" t="str">
        <f t="shared" si="22"/>
        <v/>
      </c>
      <c r="BM50" t="str">
        <f t="shared" si="22"/>
        <v/>
      </c>
      <c r="BN50" t="str">
        <f t="shared" si="23"/>
        <v/>
      </c>
      <c r="BO50" t="str">
        <f t="shared" si="23"/>
        <v/>
      </c>
      <c r="BP50" t="str">
        <f t="shared" si="23"/>
        <v/>
      </c>
      <c r="BQ50" t="str">
        <f t="shared" si="23"/>
        <v/>
      </c>
      <c r="BR50" t="str">
        <f t="shared" si="23"/>
        <v/>
      </c>
      <c r="BS50" t="str">
        <f t="shared" si="23"/>
        <v/>
      </c>
      <c r="BT50" t="str">
        <f t="shared" si="23"/>
        <v/>
      </c>
      <c r="BU50" t="str">
        <f t="shared" si="23"/>
        <v/>
      </c>
      <c r="BV50" t="str">
        <f t="shared" si="23"/>
        <v/>
      </c>
      <c r="BW50" t="str">
        <f t="shared" si="23"/>
        <v/>
      </c>
    </row>
    <row r="51" spans="1:75" x14ac:dyDescent="0.25">
      <c r="A51" t="s">
        <v>89</v>
      </c>
      <c r="J51">
        <f>SUMIFS('Suivi Temps'!$D:$D,'Suivi Temps'!$A:$A,"P001-041")</f>
        <v>0</v>
      </c>
      <c r="P51" t="str">
        <f t="shared" ref="P51:Y61" si="24">IF(AND($E51&lt;&gt;"",$F51&lt;&gt;"",P$9&gt;=$E51,P$9&lt;=$F51),"■","")</f>
        <v/>
      </c>
      <c r="Q51" t="str">
        <f t="shared" si="24"/>
        <v/>
      </c>
      <c r="R51" t="str">
        <f t="shared" si="24"/>
        <v/>
      </c>
      <c r="S51" t="str">
        <f t="shared" si="24"/>
        <v/>
      </c>
      <c r="T51" t="str">
        <f t="shared" si="24"/>
        <v/>
      </c>
      <c r="U51" t="str">
        <f t="shared" si="24"/>
        <v/>
      </c>
      <c r="V51" t="str">
        <f t="shared" si="24"/>
        <v/>
      </c>
      <c r="W51" t="str">
        <f t="shared" si="24"/>
        <v/>
      </c>
      <c r="X51" t="str">
        <f t="shared" si="24"/>
        <v/>
      </c>
      <c r="Y51" t="str">
        <f t="shared" si="24"/>
        <v/>
      </c>
      <c r="Z51" t="str">
        <f t="shared" ref="Z51:AI61" si="25">IF(AND($E51&lt;&gt;"",$F51&lt;&gt;"",Z$9&gt;=$E51,Z$9&lt;=$F51),"■","")</f>
        <v/>
      </c>
      <c r="AA51" t="str">
        <f t="shared" si="25"/>
        <v/>
      </c>
      <c r="AB51" t="str">
        <f t="shared" si="25"/>
        <v/>
      </c>
      <c r="AC51" t="str">
        <f t="shared" si="25"/>
        <v/>
      </c>
      <c r="AD51" t="str">
        <f t="shared" si="25"/>
        <v/>
      </c>
      <c r="AE51" t="str">
        <f t="shared" si="25"/>
        <v/>
      </c>
      <c r="AF51" t="str">
        <f t="shared" si="25"/>
        <v/>
      </c>
      <c r="AG51" t="str">
        <f t="shared" si="25"/>
        <v/>
      </c>
      <c r="AH51" t="str">
        <f t="shared" si="25"/>
        <v/>
      </c>
      <c r="AI51" t="str">
        <f t="shared" si="25"/>
        <v/>
      </c>
      <c r="AJ51" t="str">
        <f t="shared" ref="AJ51:AS61" si="26">IF(AND($E51&lt;&gt;"",$F51&lt;&gt;"",AJ$9&gt;=$E51,AJ$9&lt;=$F51),"■","")</f>
        <v/>
      </c>
      <c r="AK51" t="str">
        <f t="shared" si="26"/>
        <v/>
      </c>
      <c r="AL51" t="str">
        <f t="shared" si="26"/>
        <v/>
      </c>
      <c r="AM51" t="str">
        <f t="shared" si="26"/>
        <v/>
      </c>
      <c r="AN51" t="str">
        <f t="shared" si="26"/>
        <v/>
      </c>
      <c r="AO51" t="str">
        <f t="shared" si="26"/>
        <v/>
      </c>
      <c r="AP51" t="str">
        <f t="shared" si="26"/>
        <v/>
      </c>
      <c r="AQ51" t="str">
        <f t="shared" si="26"/>
        <v/>
      </c>
      <c r="AR51" t="str">
        <f t="shared" si="26"/>
        <v/>
      </c>
      <c r="AS51" t="str">
        <f t="shared" si="26"/>
        <v/>
      </c>
      <c r="AT51" t="str">
        <f t="shared" ref="AT51:BC61" si="27">IF(AND($E51&lt;&gt;"",$F51&lt;&gt;"",AT$9&gt;=$E51,AT$9&lt;=$F51),"■","")</f>
        <v/>
      </c>
      <c r="AU51" t="str">
        <f t="shared" si="27"/>
        <v/>
      </c>
      <c r="AV51" t="str">
        <f t="shared" si="27"/>
        <v/>
      </c>
      <c r="AW51" t="str">
        <f t="shared" si="27"/>
        <v/>
      </c>
      <c r="AX51" t="str">
        <f t="shared" si="27"/>
        <v/>
      </c>
      <c r="AY51" t="str">
        <f t="shared" si="27"/>
        <v/>
      </c>
      <c r="AZ51" t="str">
        <f t="shared" si="27"/>
        <v/>
      </c>
      <c r="BA51" t="str">
        <f t="shared" si="27"/>
        <v/>
      </c>
      <c r="BB51" t="str">
        <f t="shared" si="27"/>
        <v/>
      </c>
      <c r="BC51" t="str">
        <f t="shared" si="27"/>
        <v/>
      </c>
      <c r="BD51" t="str">
        <f t="shared" ref="BD51:BM61" si="28">IF(AND($E51&lt;&gt;"",$F51&lt;&gt;"",BD$9&gt;=$E51,BD$9&lt;=$F51),"■","")</f>
        <v/>
      </c>
      <c r="BE51" t="str">
        <f t="shared" si="28"/>
        <v/>
      </c>
      <c r="BF51" t="str">
        <f t="shared" si="28"/>
        <v/>
      </c>
      <c r="BG51" t="str">
        <f t="shared" si="28"/>
        <v/>
      </c>
      <c r="BH51" t="str">
        <f t="shared" si="28"/>
        <v/>
      </c>
      <c r="BI51" t="str">
        <f t="shared" si="28"/>
        <v/>
      </c>
      <c r="BJ51" t="str">
        <f t="shared" si="28"/>
        <v/>
      </c>
      <c r="BK51" t="str">
        <f t="shared" si="28"/>
        <v/>
      </c>
      <c r="BL51" t="str">
        <f t="shared" si="28"/>
        <v/>
      </c>
      <c r="BM51" t="str">
        <f t="shared" si="28"/>
        <v/>
      </c>
      <c r="BN51" t="str">
        <f t="shared" ref="BN51:BW61" si="29">IF(AND($E51&lt;&gt;"",$F51&lt;&gt;"",BN$9&gt;=$E51,BN$9&lt;=$F51),"■","")</f>
        <v/>
      </c>
      <c r="BO51" t="str">
        <f t="shared" si="29"/>
        <v/>
      </c>
      <c r="BP51" t="str">
        <f t="shared" si="29"/>
        <v/>
      </c>
      <c r="BQ51" t="str">
        <f t="shared" si="29"/>
        <v/>
      </c>
      <c r="BR51" t="str">
        <f t="shared" si="29"/>
        <v/>
      </c>
      <c r="BS51" t="str">
        <f t="shared" si="29"/>
        <v/>
      </c>
      <c r="BT51" t="str">
        <f t="shared" si="29"/>
        <v/>
      </c>
      <c r="BU51" t="str">
        <f t="shared" si="29"/>
        <v/>
      </c>
      <c r="BV51" t="str">
        <f t="shared" si="29"/>
        <v/>
      </c>
      <c r="BW51" t="str">
        <f t="shared" si="29"/>
        <v/>
      </c>
    </row>
    <row r="52" spans="1:75" x14ac:dyDescent="0.25">
      <c r="A52" t="s">
        <v>90</v>
      </c>
      <c r="J52">
        <f>SUMIFS('Suivi Temps'!$D:$D,'Suivi Temps'!$A:$A,"P001-042")</f>
        <v>0</v>
      </c>
      <c r="P52" t="str">
        <f t="shared" si="24"/>
        <v/>
      </c>
      <c r="Q52" t="str">
        <f t="shared" si="24"/>
        <v/>
      </c>
      <c r="R52" t="str">
        <f t="shared" si="24"/>
        <v/>
      </c>
      <c r="S52" t="str">
        <f t="shared" si="24"/>
        <v/>
      </c>
      <c r="T52" t="str">
        <f t="shared" si="24"/>
        <v/>
      </c>
      <c r="U52" t="str">
        <f t="shared" si="24"/>
        <v/>
      </c>
      <c r="V52" t="str">
        <f t="shared" si="24"/>
        <v/>
      </c>
      <c r="W52" t="str">
        <f t="shared" si="24"/>
        <v/>
      </c>
      <c r="X52" t="str">
        <f t="shared" si="24"/>
        <v/>
      </c>
      <c r="Y52" t="str">
        <f t="shared" si="24"/>
        <v/>
      </c>
      <c r="Z52" t="str">
        <f t="shared" si="25"/>
        <v/>
      </c>
      <c r="AA52" t="str">
        <f t="shared" si="25"/>
        <v/>
      </c>
      <c r="AB52" t="str">
        <f t="shared" si="25"/>
        <v/>
      </c>
      <c r="AC52" t="str">
        <f t="shared" si="25"/>
        <v/>
      </c>
      <c r="AD52" t="str">
        <f t="shared" si="25"/>
        <v/>
      </c>
      <c r="AE52" t="str">
        <f t="shared" si="25"/>
        <v/>
      </c>
      <c r="AF52" t="str">
        <f t="shared" si="25"/>
        <v/>
      </c>
      <c r="AG52" t="str">
        <f t="shared" si="25"/>
        <v/>
      </c>
      <c r="AH52" t="str">
        <f t="shared" si="25"/>
        <v/>
      </c>
      <c r="AI52" t="str">
        <f t="shared" si="25"/>
        <v/>
      </c>
      <c r="AJ52" t="str">
        <f t="shared" si="26"/>
        <v/>
      </c>
      <c r="AK52" t="str">
        <f t="shared" si="26"/>
        <v/>
      </c>
      <c r="AL52" t="str">
        <f t="shared" si="26"/>
        <v/>
      </c>
      <c r="AM52" t="str">
        <f t="shared" si="26"/>
        <v/>
      </c>
      <c r="AN52" t="str">
        <f t="shared" si="26"/>
        <v/>
      </c>
      <c r="AO52" t="str">
        <f t="shared" si="26"/>
        <v/>
      </c>
      <c r="AP52" t="str">
        <f t="shared" si="26"/>
        <v/>
      </c>
      <c r="AQ52" t="str">
        <f t="shared" si="26"/>
        <v/>
      </c>
      <c r="AR52" t="str">
        <f t="shared" si="26"/>
        <v/>
      </c>
      <c r="AS52" t="str">
        <f t="shared" si="26"/>
        <v/>
      </c>
      <c r="AT52" t="str">
        <f t="shared" si="27"/>
        <v/>
      </c>
      <c r="AU52" t="str">
        <f t="shared" si="27"/>
        <v/>
      </c>
      <c r="AV52" t="str">
        <f t="shared" si="27"/>
        <v/>
      </c>
      <c r="AW52" t="str">
        <f t="shared" si="27"/>
        <v/>
      </c>
      <c r="AX52" t="str">
        <f t="shared" si="27"/>
        <v/>
      </c>
      <c r="AY52" t="str">
        <f t="shared" si="27"/>
        <v/>
      </c>
      <c r="AZ52" t="str">
        <f t="shared" si="27"/>
        <v/>
      </c>
      <c r="BA52" t="str">
        <f t="shared" si="27"/>
        <v/>
      </c>
      <c r="BB52" t="str">
        <f t="shared" si="27"/>
        <v/>
      </c>
      <c r="BC52" t="str">
        <f t="shared" si="27"/>
        <v/>
      </c>
      <c r="BD52" t="str">
        <f t="shared" si="28"/>
        <v/>
      </c>
      <c r="BE52" t="str">
        <f t="shared" si="28"/>
        <v/>
      </c>
      <c r="BF52" t="str">
        <f t="shared" si="28"/>
        <v/>
      </c>
      <c r="BG52" t="str">
        <f t="shared" si="28"/>
        <v/>
      </c>
      <c r="BH52" t="str">
        <f t="shared" si="28"/>
        <v/>
      </c>
      <c r="BI52" t="str">
        <f t="shared" si="28"/>
        <v/>
      </c>
      <c r="BJ52" t="str">
        <f t="shared" si="28"/>
        <v/>
      </c>
      <c r="BK52" t="str">
        <f t="shared" si="28"/>
        <v/>
      </c>
      <c r="BL52" t="str">
        <f t="shared" si="28"/>
        <v/>
      </c>
      <c r="BM52" t="str">
        <f t="shared" si="28"/>
        <v/>
      </c>
      <c r="BN52" t="str">
        <f t="shared" si="29"/>
        <v/>
      </c>
      <c r="BO52" t="str">
        <f t="shared" si="29"/>
        <v/>
      </c>
      <c r="BP52" t="str">
        <f t="shared" si="29"/>
        <v/>
      </c>
      <c r="BQ52" t="str">
        <f t="shared" si="29"/>
        <v/>
      </c>
      <c r="BR52" t="str">
        <f t="shared" si="29"/>
        <v/>
      </c>
      <c r="BS52" t="str">
        <f t="shared" si="29"/>
        <v/>
      </c>
      <c r="BT52" t="str">
        <f t="shared" si="29"/>
        <v/>
      </c>
      <c r="BU52" t="str">
        <f t="shared" si="29"/>
        <v/>
      </c>
      <c r="BV52" t="str">
        <f t="shared" si="29"/>
        <v/>
      </c>
      <c r="BW52" t="str">
        <f t="shared" si="29"/>
        <v/>
      </c>
    </row>
    <row r="53" spans="1:75" x14ac:dyDescent="0.25">
      <c r="A53" t="s">
        <v>91</v>
      </c>
      <c r="J53">
        <f>SUMIFS('Suivi Temps'!$D:$D,'Suivi Temps'!$A:$A,"P001-043")</f>
        <v>0</v>
      </c>
      <c r="P53" t="str">
        <f t="shared" si="24"/>
        <v/>
      </c>
      <c r="Q53" t="str">
        <f t="shared" si="24"/>
        <v/>
      </c>
      <c r="R53" t="str">
        <f t="shared" si="24"/>
        <v/>
      </c>
      <c r="S53" t="str">
        <f t="shared" si="24"/>
        <v/>
      </c>
      <c r="T53" t="str">
        <f t="shared" si="24"/>
        <v/>
      </c>
      <c r="U53" t="str">
        <f t="shared" si="24"/>
        <v/>
      </c>
      <c r="V53" t="str">
        <f t="shared" si="24"/>
        <v/>
      </c>
      <c r="W53" t="str">
        <f t="shared" si="24"/>
        <v/>
      </c>
      <c r="X53" t="str">
        <f t="shared" si="24"/>
        <v/>
      </c>
      <c r="Y53" t="str">
        <f t="shared" si="24"/>
        <v/>
      </c>
      <c r="Z53" t="str">
        <f t="shared" si="25"/>
        <v/>
      </c>
      <c r="AA53" t="str">
        <f t="shared" si="25"/>
        <v/>
      </c>
      <c r="AB53" t="str">
        <f t="shared" si="25"/>
        <v/>
      </c>
      <c r="AC53" t="str">
        <f t="shared" si="25"/>
        <v/>
      </c>
      <c r="AD53" t="str">
        <f t="shared" si="25"/>
        <v/>
      </c>
      <c r="AE53" t="str">
        <f t="shared" si="25"/>
        <v/>
      </c>
      <c r="AF53" t="str">
        <f t="shared" si="25"/>
        <v/>
      </c>
      <c r="AG53" t="str">
        <f t="shared" si="25"/>
        <v/>
      </c>
      <c r="AH53" t="str">
        <f t="shared" si="25"/>
        <v/>
      </c>
      <c r="AI53" t="str">
        <f t="shared" si="25"/>
        <v/>
      </c>
      <c r="AJ53" t="str">
        <f t="shared" si="26"/>
        <v/>
      </c>
      <c r="AK53" t="str">
        <f t="shared" si="26"/>
        <v/>
      </c>
      <c r="AL53" t="str">
        <f t="shared" si="26"/>
        <v/>
      </c>
      <c r="AM53" t="str">
        <f t="shared" si="26"/>
        <v/>
      </c>
      <c r="AN53" t="str">
        <f t="shared" si="26"/>
        <v/>
      </c>
      <c r="AO53" t="str">
        <f t="shared" si="26"/>
        <v/>
      </c>
      <c r="AP53" t="str">
        <f t="shared" si="26"/>
        <v/>
      </c>
      <c r="AQ53" t="str">
        <f t="shared" si="26"/>
        <v/>
      </c>
      <c r="AR53" t="str">
        <f t="shared" si="26"/>
        <v/>
      </c>
      <c r="AS53" t="str">
        <f t="shared" si="26"/>
        <v/>
      </c>
      <c r="AT53" t="str">
        <f t="shared" si="27"/>
        <v/>
      </c>
      <c r="AU53" t="str">
        <f t="shared" si="27"/>
        <v/>
      </c>
      <c r="AV53" t="str">
        <f t="shared" si="27"/>
        <v/>
      </c>
      <c r="AW53" t="str">
        <f t="shared" si="27"/>
        <v/>
      </c>
      <c r="AX53" t="str">
        <f t="shared" si="27"/>
        <v/>
      </c>
      <c r="AY53" t="str">
        <f t="shared" si="27"/>
        <v/>
      </c>
      <c r="AZ53" t="str">
        <f t="shared" si="27"/>
        <v/>
      </c>
      <c r="BA53" t="str">
        <f t="shared" si="27"/>
        <v/>
      </c>
      <c r="BB53" t="str">
        <f t="shared" si="27"/>
        <v/>
      </c>
      <c r="BC53" t="str">
        <f t="shared" si="27"/>
        <v/>
      </c>
      <c r="BD53" t="str">
        <f t="shared" si="28"/>
        <v/>
      </c>
      <c r="BE53" t="str">
        <f t="shared" si="28"/>
        <v/>
      </c>
      <c r="BF53" t="str">
        <f t="shared" si="28"/>
        <v/>
      </c>
      <c r="BG53" t="str">
        <f t="shared" si="28"/>
        <v/>
      </c>
      <c r="BH53" t="str">
        <f t="shared" si="28"/>
        <v/>
      </c>
      <c r="BI53" t="str">
        <f t="shared" si="28"/>
        <v/>
      </c>
      <c r="BJ53" t="str">
        <f t="shared" si="28"/>
        <v/>
      </c>
      <c r="BK53" t="str">
        <f t="shared" si="28"/>
        <v/>
      </c>
      <c r="BL53" t="str">
        <f t="shared" si="28"/>
        <v/>
      </c>
      <c r="BM53" t="str">
        <f t="shared" si="28"/>
        <v/>
      </c>
      <c r="BN53" t="str">
        <f t="shared" si="29"/>
        <v/>
      </c>
      <c r="BO53" t="str">
        <f t="shared" si="29"/>
        <v/>
      </c>
      <c r="BP53" t="str">
        <f t="shared" si="29"/>
        <v/>
      </c>
      <c r="BQ53" t="str">
        <f t="shared" si="29"/>
        <v/>
      </c>
      <c r="BR53" t="str">
        <f t="shared" si="29"/>
        <v/>
      </c>
      <c r="BS53" t="str">
        <f t="shared" si="29"/>
        <v/>
      </c>
      <c r="BT53" t="str">
        <f t="shared" si="29"/>
        <v/>
      </c>
      <c r="BU53" t="str">
        <f t="shared" si="29"/>
        <v/>
      </c>
      <c r="BV53" t="str">
        <f t="shared" si="29"/>
        <v/>
      </c>
      <c r="BW53" t="str">
        <f t="shared" si="29"/>
        <v/>
      </c>
    </row>
    <row r="54" spans="1:75" x14ac:dyDescent="0.25">
      <c r="A54" t="s">
        <v>92</v>
      </c>
      <c r="J54">
        <f>SUMIFS('Suivi Temps'!$D:$D,'Suivi Temps'!$A:$A,"P001-044")</f>
        <v>0</v>
      </c>
      <c r="P54" t="str">
        <f t="shared" si="24"/>
        <v/>
      </c>
      <c r="Q54" t="str">
        <f t="shared" si="24"/>
        <v/>
      </c>
      <c r="R54" t="str">
        <f t="shared" si="24"/>
        <v/>
      </c>
      <c r="S54" t="str">
        <f t="shared" si="24"/>
        <v/>
      </c>
      <c r="T54" t="str">
        <f t="shared" si="24"/>
        <v/>
      </c>
      <c r="U54" t="str">
        <f t="shared" si="24"/>
        <v/>
      </c>
      <c r="V54" t="str">
        <f t="shared" si="24"/>
        <v/>
      </c>
      <c r="W54" t="str">
        <f t="shared" si="24"/>
        <v/>
      </c>
      <c r="X54" t="str">
        <f t="shared" si="24"/>
        <v/>
      </c>
      <c r="Y54" t="str">
        <f t="shared" si="24"/>
        <v/>
      </c>
      <c r="Z54" t="str">
        <f t="shared" si="25"/>
        <v/>
      </c>
      <c r="AA54" t="str">
        <f t="shared" si="25"/>
        <v/>
      </c>
      <c r="AB54" t="str">
        <f t="shared" si="25"/>
        <v/>
      </c>
      <c r="AC54" t="str">
        <f t="shared" si="25"/>
        <v/>
      </c>
      <c r="AD54" t="str">
        <f t="shared" si="25"/>
        <v/>
      </c>
      <c r="AE54" t="str">
        <f t="shared" si="25"/>
        <v/>
      </c>
      <c r="AF54" t="str">
        <f t="shared" si="25"/>
        <v/>
      </c>
      <c r="AG54" t="str">
        <f t="shared" si="25"/>
        <v/>
      </c>
      <c r="AH54" t="str">
        <f t="shared" si="25"/>
        <v/>
      </c>
      <c r="AI54" t="str">
        <f t="shared" si="25"/>
        <v/>
      </c>
      <c r="AJ54" t="str">
        <f t="shared" si="26"/>
        <v/>
      </c>
      <c r="AK54" t="str">
        <f t="shared" si="26"/>
        <v/>
      </c>
      <c r="AL54" t="str">
        <f t="shared" si="26"/>
        <v/>
      </c>
      <c r="AM54" t="str">
        <f t="shared" si="26"/>
        <v/>
      </c>
      <c r="AN54" t="str">
        <f t="shared" si="26"/>
        <v/>
      </c>
      <c r="AO54" t="str">
        <f t="shared" si="26"/>
        <v/>
      </c>
      <c r="AP54" t="str">
        <f t="shared" si="26"/>
        <v/>
      </c>
      <c r="AQ54" t="str">
        <f t="shared" si="26"/>
        <v/>
      </c>
      <c r="AR54" t="str">
        <f t="shared" si="26"/>
        <v/>
      </c>
      <c r="AS54" t="str">
        <f t="shared" si="26"/>
        <v/>
      </c>
      <c r="AT54" t="str">
        <f t="shared" si="27"/>
        <v/>
      </c>
      <c r="AU54" t="str">
        <f t="shared" si="27"/>
        <v/>
      </c>
      <c r="AV54" t="str">
        <f t="shared" si="27"/>
        <v/>
      </c>
      <c r="AW54" t="str">
        <f t="shared" si="27"/>
        <v/>
      </c>
      <c r="AX54" t="str">
        <f t="shared" si="27"/>
        <v/>
      </c>
      <c r="AY54" t="str">
        <f t="shared" si="27"/>
        <v/>
      </c>
      <c r="AZ54" t="str">
        <f t="shared" si="27"/>
        <v/>
      </c>
      <c r="BA54" t="str">
        <f t="shared" si="27"/>
        <v/>
      </c>
      <c r="BB54" t="str">
        <f t="shared" si="27"/>
        <v/>
      </c>
      <c r="BC54" t="str">
        <f t="shared" si="27"/>
        <v/>
      </c>
      <c r="BD54" t="str">
        <f t="shared" si="28"/>
        <v/>
      </c>
      <c r="BE54" t="str">
        <f t="shared" si="28"/>
        <v/>
      </c>
      <c r="BF54" t="str">
        <f t="shared" si="28"/>
        <v/>
      </c>
      <c r="BG54" t="str">
        <f t="shared" si="28"/>
        <v/>
      </c>
      <c r="BH54" t="str">
        <f t="shared" si="28"/>
        <v/>
      </c>
      <c r="BI54" t="str">
        <f t="shared" si="28"/>
        <v/>
      </c>
      <c r="BJ54" t="str">
        <f t="shared" si="28"/>
        <v/>
      </c>
      <c r="BK54" t="str">
        <f t="shared" si="28"/>
        <v/>
      </c>
      <c r="BL54" t="str">
        <f t="shared" si="28"/>
        <v/>
      </c>
      <c r="BM54" t="str">
        <f t="shared" si="28"/>
        <v/>
      </c>
      <c r="BN54" t="str">
        <f t="shared" si="29"/>
        <v/>
      </c>
      <c r="BO54" t="str">
        <f t="shared" si="29"/>
        <v/>
      </c>
      <c r="BP54" t="str">
        <f t="shared" si="29"/>
        <v/>
      </c>
      <c r="BQ54" t="str">
        <f t="shared" si="29"/>
        <v/>
      </c>
      <c r="BR54" t="str">
        <f t="shared" si="29"/>
        <v/>
      </c>
      <c r="BS54" t="str">
        <f t="shared" si="29"/>
        <v/>
      </c>
      <c r="BT54" t="str">
        <f t="shared" si="29"/>
        <v/>
      </c>
      <c r="BU54" t="str">
        <f t="shared" si="29"/>
        <v/>
      </c>
      <c r="BV54" t="str">
        <f t="shared" si="29"/>
        <v/>
      </c>
      <c r="BW54" t="str">
        <f t="shared" si="29"/>
        <v/>
      </c>
    </row>
    <row r="55" spans="1:75" x14ac:dyDescent="0.25">
      <c r="A55" t="s">
        <v>93</v>
      </c>
      <c r="J55">
        <f>SUMIFS('Suivi Temps'!$D:$D,'Suivi Temps'!$A:$A,"P001-045")</f>
        <v>0</v>
      </c>
      <c r="P55" t="str">
        <f t="shared" si="24"/>
        <v/>
      </c>
      <c r="Q55" t="str">
        <f t="shared" si="24"/>
        <v/>
      </c>
      <c r="R55" t="str">
        <f t="shared" si="24"/>
        <v/>
      </c>
      <c r="S55" t="str">
        <f t="shared" si="24"/>
        <v/>
      </c>
      <c r="T55" t="str">
        <f t="shared" si="24"/>
        <v/>
      </c>
      <c r="U55" t="str">
        <f t="shared" si="24"/>
        <v/>
      </c>
      <c r="V55" t="str">
        <f t="shared" si="24"/>
        <v/>
      </c>
      <c r="W55" t="str">
        <f t="shared" si="24"/>
        <v/>
      </c>
      <c r="X55" t="str">
        <f t="shared" si="24"/>
        <v/>
      </c>
      <c r="Y55" t="str">
        <f t="shared" si="24"/>
        <v/>
      </c>
      <c r="Z55" t="str">
        <f t="shared" si="25"/>
        <v/>
      </c>
      <c r="AA55" t="str">
        <f t="shared" si="25"/>
        <v/>
      </c>
      <c r="AB55" t="str">
        <f t="shared" si="25"/>
        <v/>
      </c>
      <c r="AC55" t="str">
        <f t="shared" si="25"/>
        <v/>
      </c>
      <c r="AD55" t="str">
        <f t="shared" si="25"/>
        <v/>
      </c>
      <c r="AE55" t="str">
        <f t="shared" si="25"/>
        <v/>
      </c>
      <c r="AF55" t="str">
        <f t="shared" si="25"/>
        <v/>
      </c>
      <c r="AG55" t="str">
        <f t="shared" si="25"/>
        <v/>
      </c>
      <c r="AH55" t="str">
        <f t="shared" si="25"/>
        <v/>
      </c>
      <c r="AI55" t="str">
        <f t="shared" si="25"/>
        <v/>
      </c>
      <c r="AJ55" t="str">
        <f t="shared" si="26"/>
        <v/>
      </c>
      <c r="AK55" t="str">
        <f t="shared" si="26"/>
        <v/>
      </c>
      <c r="AL55" t="str">
        <f t="shared" si="26"/>
        <v/>
      </c>
      <c r="AM55" t="str">
        <f t="shared" si="26"/>
        <v/>
      </c>
      <c r="AN55" t="str">
        <f t="shared" si="26"/>
        <v/>
      </c>
      <c r="AO55" t="str">
        <f t="shared" si="26"/>
        <v/>
      </c>
      <c r="AP55" t="str">
        <f t="shared" si="26"/>
        <v/>
      </c>
      <c r="AQ55" t="str">
        <f t="shared" si="26"/>
        <v/>
      </c>
      <c r="AR55" t="str">
        <f t="shared" si="26"/>
        <v/>
      </c>
      <c r="AS55" t="str">
        <f t="shared" si="26"/>
        <v/>
      </c>
      <c r="AT55" t="str">
        <f t="shared" si="27"/>
        <v/>
      </c>
      <c r="AU55" t="str">
        <f t="shared" si="27"/>
        <v/>
      </c>
      <c r="AV55" t="str">
        <f t="shared" si="27"/>
        <v/>
      </c>
      <c r="AW55" t="str">
        <f t="shared" si="27"/>
        <v/>
      </c>
      <c r="AX55" t="str">
        <f t="shared" si="27"/>
        <v/>
      </c>
      <c r="AY55" t="str">
        <f t="shared" si="27"/>
        <v/>
      </c>
      <c r="AZ55" t="str">
        <f t="shared" si="27"/>
        <v/>
      </c>
      <c r="BA55" t="str">
        <f t="shared" si="27"/>
        <v/>
      </c>
      <c r="BB55" t="str">
        <f t="shared" si="27"/>
        <v/>
      </c>
      <c r="BC55" t="str">
        <f t="shared" si="27"/>
        <v/>
      </c>
      <c r="BD55" t="str">
        <f t="shared" si="28"/>
        <v/>
      </c>
      <c r="BE55" t="str">
        <f t="shared" si="28"/>
        <v/>
      </c>
      <c r="BF55" t="str">
        <f t="shared" si="28"/>
        <v/>
      </c>
      <c r="BG55" t="str">
        <f t="shared" si="28"/>
        <v/>
      </c>
      <c r="BH55" t="str">
        <f t="shared" si="28"/>
        <v/>
      </c>
      <c r="BI55" t="str">
        <f t="shared" si="28"/>
        <v/>
      </c>
      <c r="BJ55" t="str">
        <f t="shared" si="28"/>
        <v/>
      </c>
      <c r="BK55" t="str">
        <f t="shared" si="28"/>
        <v/>
      </c>
      <c r="BL55" t="str">
        <f t="shared" si="28"/>
        <v/>
      </c>
      <c r="BM55" t="str">
        <f t="shared" si="28"/>
        <v/>
      </c>
      <c r="BN55" t="str">
        <f t="shared" si="29"/>
        <v/>
      </c>
      <c r="BO55" t="str">
        <f t="shared" si="29"/>
        <v/>
      </c>
      <c r="BP55" t="str">
        <f t="shared" si="29"/>
        <v/>
      </c>
      <c r="BQ55" t="str">
        <f t="shared" si="29"/>
        <v/>
      </c>
      <c r="BR55" t="str">
        <f t="shared" si="29"/>
        <v/>
      </c>
      <c r="BS55" t="str">
        <f t="shared" si="29"/>
        <v/>
      </c>
      <c r="BT55" t="str">
        <f t="shared" si="29"/>
        <v/>
      </c>
      <c r="BU55" t="str">
        <f t="shared" si="29"/>
        <v/>
      </c>
      <c r="BV55" t="str">
        <f t="shared" si="29"/>
        <v/>
      </c>
      <c r="BW55" t="str">
        <f t="shared" si="29"/>
        <v/>
      </c>
    </row>
    <row r="56" spans="1:75" x14ac:dyDescent="0.25">
      <c r="A56" t="s">
        <v>94</v>
      </c>
      <c r="J56">
        <f>SUMIFS('Suivi Temps'!$D:$D,'Suivi Temps'!$A:$A,"P001-046")</f>
        <v>0</v>
      </c>
      <c r="P56" t="str">
        <f t="shared" si="24"/>
        <v/>
      </c>
      <c r="Q56" t="str">
        <f t="shared" si="24"/>
        <v/>
      </c>
      <c r="R56" t="str">
        <f t="shared" si="24"/>
        <v/>
      </c>
      <c r="S56" t="str">
        <f t="shared" si="24"/>
        <v/>
      </c>
      <c r="T56" t="str">
        <f t="shared" si="24"/>
        <v/>
      </c>
      <c r="U56" t="str">
        <f t="shared" si="24"/>
        <v/>
      </c>
      <c r="V56" t="str">
        <f t="shared" si="24"/>
        <v/>
      </c>
      <c r="W56" t="str">
        <f t="shared" si="24"/>
        <v/>
      </c>
      <c r="X56" t="str">
        <f t="shared" si="24"/>
        <v/>
      </c>
      <c r="Y56" t="str">
        <f t="shared" si="24"/>
        <v/>
      </c>
      <c r="Z56" t="str">
        <f t="shared" si="25"/>
        <v/>
      </c>
      <c r="AA56" t="str">
        <f t="shared" si="25"/>
        <v/>
      </c>
      <c r="AB56" t="str">
        <f t="shared" si="25"/>
        <v/>
      </c>
      <c r="AC56" t="str">
        <f t="shared" si="25"/>
        <v/>
      </c>
      <c r="AD56" t="str">
        <f t="shared" si="25"/>
        <v/>
      </c>
      <c r="AE56" t="str">
        <f t="shared" si="25"/>
        <v/>
      </c>
      <c r="AF56" t="str">
        <f t="shared" si="25"/>
        <v/>
      </c>
      <c r="AG56" t="str">
        <f t="shared" si="25"/>
        <v/>
      </c>
      <c r="AH56" t="str">
        <f t="shared" si="25"/>
        <v/>
      </c>
      <c r="AI56" t="str">
        <f t="shared" si="25"/>
        <v/>
      </c>
      <c r="AJ56" t="str">
        <f t="shared" si="26"/>
        <v/>
      </c>
      <c r="AK56" t="str">
        <f t="shared" si="26"/>
        <v/>
      </c>
      <c r="AL56" t="str">
        <f t="shared" si="26"/>
        <v/>
      </c>
      <c r="AM56" t="str">
        <f t="shared" si="26"/>
        <v/>
      </c>
      <c r="AN56" t="str">
        <f t="shared" si="26"/>
        <v/>
      </c>
      <c r="AO56" t="str">
        <f t="shared" si="26"/>
        <v/>
      </c>
      <c r="AP56" t="str">
        <f t="shared" si="26"/>
        <v/>
      </c>
      <c r="AQ56" t="str">
        <f t="shared" si="26"/>
        <v/>
      </c>
      <c r="AR56" t="str">
        <f t="shared" si="26"/>
        <v/>
      </c>
      <c r="AS56" t="str">
        <f t="shared" si="26"/>
        <v/>
      </c>
      <c r="AT56" t="str">
        <f t="shared" si="27"/>
        <v/>
      </c>
      <c r="AU56" t="str">
        <f t="shared" si="27"/>
        <v/>
      </c>
      <c r="AV56" t="str">
        <f t="shared" si="27"/>
        <v/>
      </c>
      <c r="AW56" t="str">
        <f t="shared" si="27"/>
        <v/>
      </c>
      <c r="AX56" t="str">
        <f t="shared" si="27"/>
        <v/>
      </c>
      <c r="AY56" t="str">
        <f t="shared" si="27"/>
        <v/>
      </c>
      <c r="AZ56" t="str">
        <f t="shared" si="27"/>
        <v/>
      </c>
      <c r="BA56" t="str">
        <f t="shared" si="27"/>
        <v/>
      </c>
      <c r="BB56" t="str">
        <f t="shared" si="27"/>
        <v/>
      </c>
      <c r="BC56" t="str">
        <f t="shared" si="27"/>
        <v/>
      </c>
      <c r="BD56" t="str">
        <f t="shared" si="28"/>
        <v/>
      </c>
      <c r="BE56" t="str">
        <f t="shared" si="28"/>
        <v/>
      </c>
      <c r="BF56" t="str">
        <f t="shared" si="28"/>
        <v/>
      </c>
      <c r="BG56" t="str">
        <f t="shared" si="28"/>
        <v/>
      </c>
      <c r="BH56" t="str">
        <f t="shared" si="28"/>
        <v/>
      </c>
      <c r="BI56" t="str">
        <f t="shared" si="28"/>
        <v/>
      </c>
      <c r="BJ56" t="str">
        <f t="shared" si="28"/>
        <v/>
      </c>
      <c r="BK56" t="str">
        <f t="shared" si="28"/>
        <v/>
      </c>
      <c r="BL56" t="str">
        <f t="shared" si="28"/>
        <v/>
      </c>
      <c r="BM56" t="str">
        <f t="shared" si="28"/>
        <v/>
      </c>
      <c r="BN56" t="str">
        <f t="shared" si="29"/>
        <v/>
      </c>
      <c r="BO56" t="str">
        <f t="shared" si="29"/>
        <v/>
      </c>
      <c r="BP56" t="str">
        <f t="shared" si="29"/>
        <v/>
      </c>
      <c r="BQ56" t="str">
        <f t="shared" si="29"/>
        <v/>
      </c>
      <c r="BR56" t="str">
        <f t="shared" si="29"/>
        <v/>
      </c>
      <c r="BS56" t="str">
        <f t="shared" si="29"/>
        <v/>
      </c>
      <c r="BT56" t="str">
        <f t="shared" si="29"/>
        <v/>
      </c>
      <c r="BU56" t="str">
        <f t="shared" si="29"/>
        <v/>
      </c>
      <c r="BV56" t="str">
        <f t="shared" si="29"/>
        <v/>
      </c>
      <c r="BW56" t="str">
        <f t="shared" si="29"/>
        <v/>
      </c>
    </row>
    <row r="57" spans="1:75" x14ac:dyDescent="0.25">
      <c r="A57" t="s">
        <v>95</v>
      </c>
      <c r="J57">
        <f>SUMIFS('Suivi Temps'!$D:$D,'Suivi Temps'!$A:$A,"P001-047")</f>
        <v>0</v>
      </c>
      <c r="P57" t="str">
        <f t="shared" si="24"/>
        <v/>
      </c>
      <c r="Q57" t="str">
        <f t="shared" si="24"/>
        <v/>
      </c>
      <c r="R57" t="str">
        <f t="shared" si="24"/>
        <v/>
      </c>
      <c r="S57" t="str">
        <f t="shared" si="24"/>
        <v/>
      </c>
      <c r="T57" t="str">
        <f t="shared" si="24"/>
        <v/>
      </c>
      <c r="U57" t="str">
        <f t="shared" si="24"/>
        <v/>
      </c>
      <c r="V57" t="str">
        <f t="shared" si="24"/>
        <v/>
      </c>
      <c r="W57" t="str">
        <f t="shared" si="24"/>
        <v/>
      </c>
      <c r="X57" t="str">
        <f t="shared" si="24"/>
        <v/>
      </c>
      <c r="Y57" t="str">
        <f t="shared" si="24"/>
        <v/>
      </c>
      <c r="Z57" t="str">
        <f t="shared" si="25"/>
        <v/>
      </c>
      <c r="AA57" t="str">
        <f t="shared" si="25"/>
        <v/>
      </c>
      <c r="AB57" t="str">
        <f t="shared" si="25"/>
        <v/>
      </c>
      <c r="AC57" t="str">
        <f t="shared" si="25"/>
        <v/>
      </c>
      <c r="AD57" t="str">
        <f t="shared" si="25"/>
        <v/>
      </c>
      <c r="AE57" t="str">
        <f t="shared" si="25"/>
        <v/>
      </c>
      <c r="AF57" t="str">
        <f t="shared" si="25"/>
        <v/>
      </c>
      <c r="AG57" t="str">
        <f t="shared" si="25"/>
        <v/>
      </c>
      <c r="AH57" t="str">
        <f t="shared" si="25"/>
        <v/>
      </c>
      <c r="AI57" t="str">
        <f t="shared" si="25"/>
        <v/>
      </c>
      <c r="AJ57" t="str">
        <f t="shared" si="26"/>
        <v/>
      </c>
      <c r="AK57" t="str">
        <f t="shared" si="26"/>
        <v/>
      </c>
      <c r="AL57" t="str">
        <f t="shared" si="26"/>
        <v/>
      </c>
      <c r="AM57" t="str">
        <f t="shared" si="26"/>
        <v/>
      </c>
      <c r="AN57" t="str">
        <f t="shared" si="26"/>
        <v/>
      </c>
      <c r="AO57" t="str">
        <f t="shared" si="26"/>
        <v/>
      </c>
      <c r="AP57" t="str">
        <f t="shared" si="26"/>
        <v/>
      </c>
      <c r="AQ57" t="str">
        <f t="shared" si="26"/>
        <v/>
      </c>
      <c r="AR57" t="str">
        <f t="shared" si="26"/>
        <v/>
      </c>
      <c r="AS57" t="str">
        <f t="shared" si="26"/>
        <v/>
      </c>
      <c r="AT57" t="str">
        <f t="shared" si="27"/>
        <v/>
      </c>
      <c r="AU57" t="str">
        <f t="shared" si="27"/>
        <v/>
      </c>
      <c r="AV57" t="str">
        <f t="shared" si="27"/>
        <v/>
      </c>
      <c r="AW57" t="str">
        <f t="shared" si="27"/>
        <v/>
      </c>
      <c r="AX57" t="str">
        <f t="shared" si="27"/>
        <v/>
      </c>
      <c r="AY57" t="str">
        <f t="shared" si="27"/>
        <v/>
      </c>
      <c r="AZ57" t="str">
        <f t="shared" si="27"/>
        <v/>
      </c>
      <c r="BA57" t="str">
        <f t="shared" si="27"/>
        <v/>
      </c>
      <c r="BB57" t="str">
        <f t="shared" si="27"/>
        <v/>
      </c>
      <c r="BC57" t="str">
        <f t="shared" si="27"/>
        <v/>
      </c>
      <c r="BD57" t="str">
        <f t="shared" si="28"/>
        <v/>
      </c>
      <c r="BE57" t="str">
        <f t="shared" si="28"/>
        <v/>
      </c>
      <c r="BF57" t="str">
        <f t="shared" si="28"/>
        <v/>
      </c>
      <c r="BG57" t="str">
        <f t="shared" si="28"/>
        <v/>
      </c>
      <c r="BH57" t="str">
        <f t="shared" si="28"/>
        <v/>
      </c>
      <c r="BI57" t="str">
        <f t="shared" si="28"/>
        <v/>
      </c>
      <c r="BJ57" t="str">
        <f t="shared" si="28"/>
        <v/>
      </c>
      <c r="BK57" t="str">
        <f t="shared" si="28"/>
        <v/>
      </c>
      <c r="BL57" t="str">
        <f t="shared" si="28"/>
        <v/>
      </c>
      <c r="BM57" t="str">
        <f t="shared" si="28"/>
        <v/>
      </c>
      <c r="BN57" t="str">
        <f t="shared" si="29"/>
        <v/>
      </c>
      <c r="BO57" t="str">
        <f t="shared" si="29"/>
        <v/>
      </c>
      <c r="BP57" t="str">
        <f t="shared" si="29"/>
        <v/>
      </c>
      <c r="BQ57" t="str">
        <f t="shared" si="29"/>
        <v/>
      </c>
      <c r="BR57" t="str">
        <f t="shared" si="29"/>
        <v/>
      </c>
      <c r="BS57" t="str">
        <f t="shared" si="29"/>
        <v/>
      </c>
      <c r="BT57" t="str">
        <f t="shared" si="29"/>
        <v/>
      </c>
      <c r="BU57" t="str">
        <f t="shared" si="29"/>
        <v/>
      </c>
      <c r="BV57" t="str">
        <f t="shared" si="29"/>
        <v/>
      </c>
      <c r="BW57" t="str">
        <f t="shared" si="29"/>
        <v/>
      </c>
    </row>
    <row r="58" spans="1:75" x14ac:dyDescent="0.25">
      <c r="A58" t="s">
        <v>96</v>
      </c>
      <c r="J58">
        <f>SUMIFS('Suivi Temps'!$D:$D,'Suivi Temps'!$A:$A,"P001-048")</f>
        <v>0</v>
      </c>
      <c r="P58" t="str">
        <f t="shared" si="24"/>
        <v/>
      </c>
      <c r="Q58" t="str">
        <f t="shared" si="24"/>
        <v/>
      </c>
      <c r="R58" t="str">
        <f t="shared" si="24"/>
        <v/>
      </c>
      <c r="S58" t="str">
        <f t="shared" si="24"/>
        <v/>
      </c>
      <c r="T58" t="str">
        <f t="shared" si="24"/>
        <v/>
      </c>
      <c r="U58" t="str">
        <f t="shared" si="24"/>
        <v/>
      </c>
      <c r="V58" t="str">
        <f t="shared" si="24"/>
        <v/>
      </c>
      <c r="W58" t="str">
        <f t="shared" si="24"/>
        <v/>
      </c>
      <c r="X58" t="str">
        <f t="shared" si="24"/>
        <v/>
      </c>
      <c r="Y58" t="str">
        <f t="shared" si="24"/>
        <v/>
      </c>
      <c r="Z58" t="str">
        <f t="shared" si="25"/>
        <v/>
      </c>
      <c r="AA58" t="str">
        <f t="shared" si="25"/>
        <v/>
      </c>
      <c r="AB58" t="str">
        <f t="shared" si="25"/>
        <v/>
      </c>
      <c r="AC58" t="str">
        <f t="shared" si="25"/>
        <v/>
      </c>
      <c r="AD58" t="str">
        <f t="shared" si="25"/>
        <v/>
      </c>
      <c r="AE58" t="str">
        <f t="shared" si="25"/>
        <v/>
      </c>
      <c r="AF58" t="str">
        <f t="shared" si="25"/>
        <v/>
      </c>
      <c r="AG58" t="str">
        <f t="shared" si="25"/>
        <v/>
      </c>
      <c r="AH58" t="str">
        <f t="shared" si="25"/>
        <v/>
      </c>
      <c r="AI58" t="str">
        <f t="shared" si="25"/>
        <v/>
      </c>
      <c r="AJ58" t="str">
        <f t="shared" si="26"/>
        <v/>
      </c>
      <c r="AK58" t="str">
        <f t="shared" si="26"/>
        <v/>
      </c>
      <c r="AL58" t="str">
        <f t="shared" si="26"/>
        <v/>
      </c>
      <c r="AM58" t="str">
        <f t="shared" si="26"/>
        <v/>
      </c>
      <c r="AN58" t="str">
        <f t="shared" si="26"/>
        <v/>
      </c>
      <c r="AO58" t="str">
        <f t="shared" si="26"/>
        <v/>
      </c>
      <c r="AP58" t="str">
        <f t="shared" si="26"/>
        <v/>
      </c>
      <c r="AQ58" t="str">
        <f t="shared" si="26"/>
        <v/>
      </c>
      <c r="AR58" t="str">
        <f t="shared" si="26"/>
        <v/>
      </c>
      <c r="AS58" t="str">
        <f t="shared" si="26"/>
        <v/>
      </c>
      <c r="AT58" t="str">
        <f t="shared" si="27"/>
        <v/>
      </c>
      <c r="AU58" t="str">
        <f t="shared" si="27"/>
        <v/>
      </c>
      <c r="AV58" t="str">
        <f t="shared" si="27"/>
        <v/>
      </c>
      <c r="AW58" t="str">
        <f t="shared" si="27"/>
        <v/>
      </c>
      <c r="AX58" t="str">
        <f t="shared" si="27"/>
        <v/>
      </c>
      <c r="AY58" t="str">
        <f t="shared" si="27"/>
        <v/>
      </c>
      <c r="AZ58" t="str">
        <f t="shared" si="27"/>
        <v/>
      </c>
      <c r="BA58" t="str">
        <f t="shared" si="27"/>
        <v/>
      </c>
      <c r="BB58" t="str">
        <f t="shared" si="27"/>
        <v/>
      </c>
      <c r="BC58" t="str">
        <f t="shared" si="27"/>
        <v/>
      </c>
      <c r="BD58" t="str">
        <f t="shared" si="28"/>
        <v/>
      </c>
      <c r="BE58" t="str">
        <f t="shared" si="28"/>
        <v/>
      </c>
      <c r="BF58" t="str">
        <f t="shared" si="28"/>
        <v/>
      </c>
      <c r="BG58" t="str">
        <f t="shared" si="28"/>
        <v/>
      </c>
      <c r="BH58" t="str">
        <f t="shared" si="28"/>
        <v/>
      </c>
      <c r="BI58" t="str">
        <f t="shared" si="28"/>
        <v/>
      </c>
      <c r="BJ58" t="str">
        <f t="shared" si="28"/>
        <v/>
      </c>
      <c r="BK58" t="str">
        <f t="shared" si="28"/>
        <v/>
      </c>
      <c r="BL58" t="str">
        <f t="shared" si="28"/>
        <v/>
      </c>
      <c r="BM58" t="str">
        <f t="shared" si="28"/>
        <v/>
      </c>
      <c r="BN58" t="str">
        <f t="shared" si="29"/>
        <v/>
      </c>
      <c r="BO58" t="str">
        <f t="shared" si="29"/>
        <v/>
      </c>
      <c r="BP58" t="str">
        <f t="shared" si="29"/>
        <v/>
      </c>
      <c r="BQ58" t="str">
        <f t="shared" si="29"/>
        <v/>
      </c>
      <c r="BR58" t="str">
        <f t="shared" si="29"/>
        <v/>
      </c>
      <c r="BS58" t="str">
        <f t="shared" si="29"/>
        <v/>
      </c>
      <c r="BT58" t="str">
        <f t="shared" si="29"/>
        <v/>
      </c>
      <c r="BU58" t="str">
        <f t="shared" si="29"/>
        <v/>
      </c>
      <c r="BV58" t="str">
        <f t="shared" si="29"/>
        <v/>
      </c>
      <c r="BW58" t="str">
        <f t="shared" si="29"/>
        <v/>
      </c>
    </row>
    <row r="59" spans="1:75" x14ac:dyDescent="0.25">
      <c r="A59" t="s">
        <v>97</v>
      </c>
      <c r="J59">
        <f>SUMIFS('Suivi Temps'!$D:$D,'Suivi Temps'!$A:$A,"P001-049")</f>
        <v>0</v>
      </c>
      <c r="P59" t="str">
        <f t="shared" si="24"/>
        <v/>
      </c>
      <c r="Q59" t="str">
        <f t="shared" si="24"/>
        <v/>
      </c>
      <c r="R59" t="str">
        <f t="shared" si="24"/>
        <v/>
      </c>
      <c r="S59" t="str">
        <f t="shared" si="24"/>
        <v/>
      </c>
      <c r="T59" t="str">
        <f t="shared" si="24"/>
        <v/>
      </c>
      <c r="U59" t="str">
        <f t="shared" si="24"/>
        <v/>
      </c>
      <c r="V59" t="str">
        <f t="shared" si="24"/>
        <v/>
      </c>
      <c r="W59" t="str">
        <f t="shared" si="24"/>
        <v/>
      </c>
      <c r="X59" t="str">
        <f t="shared" si="24"/>
        <v/>
      </c>
      <c r="Y59" t="str">
        <f t="shared" si="24"/>
        <v/>
      </c>
      <c r="Z59" t="str">
        <f t="shared" si="25"/>
        <v/>
      </c>
      <c r="AA59" t="str">
        <f t="shared" si="25"/>
        <v/>
      </c>
      <c r="AB59" t="str">
        <f t="shared" si="25"/>
        <v/>
      </c>
      <c r="AC59" t="str">
        <f t="shared" si="25"/>
        <v/>
      </c>
      <c r="AD59" t="str">
        <f t="shared" si="25"/>
        <v/>
      </c>
      <c r="AE59" t="str">
        <f t="shared" si="25"/>
        <v/>
      </c>
      <c r="AF59" t="str">
        <f t="shared" si="25"/>
        <v/>
      </c>
      <c r="AG59" t="str">
        <f t="shared" si="25"/>
        <v/>
      </c>
      <c r="AH59" t="str">
        <f t="shared" si="25"/>
        <v/>
      </c>
      <c r="AI59" t="str">
        <f t="shared" si="25"/>
        <v/>
      </c>
      <c r="AJ59" t="str">
        <f t="shared" si="26"/>
        <v/>
      </c>
      <c r="AK59" t="str">
        <f t="shared" si="26"/>
        <v/>
      </c>
      <c r="AL59" t="str">
        <f t="shared" si="26"/>
        <v/>
      </c>
      <c r="AM59" t="str">
        <f t="shared" si="26"/>
        <v/>
      </c>
      <c r="AN59" t="str">
        <f t="shared" si="26"/>
        <v/>
      </c>
      <c r="AO59" t="str">
        <f t="shared" si="26"/>
        <v/>
      </c>
      <c r="AP59" t="str">
        <f t="shared" si="26"/>
        <v/>
      </c>
      <c r="AQ59" t="str">
        <f t="shared" si="26"/>
        <v/>
      </c>
      <c r="AR59" t="str">
        <f t="shared" si="26"/>
        <v/>
      </c>
      <c r="AS59" t="str">
        <f t="shared" si="26"/>
        <v/>
      </c>
      <c r="AT59" t="str">
        <f t="shared" si="27"/>
        <v/>
      </c>
      <c r="AU59" t="str">
        <f t="shared" si="27"/>
        <v/>
      </c>
      <c r="AV59" t="str">
        <f t="shared" si="27"/>
        <v/>
      </c>
      <c r="AW59" t="str">
        <f t="shared" si="27"/>
        <v/>
      </c>
      <c r="AX59" t="str">
        <f t="shared" si="27"/>
        <v/>
      </c>
      <c r="AY59" t="str">
        <f t="shared" si="27"/>
        <v/>
      </c>
      <c r="AZ59" t="str">
        <f t="shared" si="27"/>
        <v/>
      </c>
      <c r="BA59" t="str">
        <f t="shared" si="27"/>
        <v/>
      </c>
      <c r="BB59" t="str">
        <f t="shared" si="27"/>
        <v/>
      </c>
      <c r="BC59" t="str">
        <f t="shared" si="27"/>
        <v/>
      </c>
      <c r="BD59" t="str">
        <f t="shared" si="28"/>
        <v/>
      </c>
      <c r="BE59" t="str">
        <f t="shared" si="28"/>
        <v/>
      </c>
      <c r="BF59" t="str">
        <f t="shared" si="28"/>
        <v/>
      </c>
      <c r="BG59" t="str">
        <f t="shared" si="28"/>
        <v/>
      </c>
      <c r="BH59" t="str">
        <f t="shared" si="28"/>
        <v/>
      </c>
      <c r="BI59" t="str">
        <f t="shared" si="28"/>
        <v/>
      </c>
      <c r="BJ59" t="str">
        <f t="shared" si="28"/>
        <v/>
      </c>
      <c r="BK59" t="str">
        <f t="shared" si="28"/>
        <v/>
      </c>
      <c r="BL59" t="str">
        <f t="shared" si="28"/>
        <v/>
      </c>
      <c r="BM59" t="str">
        <f t="shared" si="28"/>
        <v/>
      </c>
      <c r="BN59" t="str">
        <f t="shared" si="29"/>
        <v/>
      </c>
      <c r="BO59" t="str">
        <f t="shared" si="29"/>
        <v/>
      </c>
      <c r="BP59" t="str">
        <f t="shared" si="29"/>
        <v/>
      </c>
      <c r="BQ59" t="str">
        <f t="shared" si="29"/>
        <v/>
      </c>
      <c r="BR59" t="str">
        <f t="shared" si="29"/>
        <v/>
      </c>
      <c r="BS59" t="str">
        <f t="shared" si="29"/>
        <v/>
      </c>
      <c r="BT59" t="str">
        <f t="shared" si="29"/>
        <v/>
      </c>
      <c r="BU59" t="str">
        <f t="shared" si="29"/>
        <v/>
      </c>
      <c r="BV59" t="str">
        <f t="shared" si="29"/>
        <v/>
      </c>
      <c r="BW59" t="str">
        <f t="shared" si="29"/>
        <v/>
      </c>
    </row>
    <row r="60" spans="1:75" x14ac:dyDescent="0.25">
      <c r="A60" t="s">
        <v>98</v>
      </c>
      <c r="J60">
        <f>SUMIFS('Suivi Temps'!$D:$D,'Suivi Temps'!$A:$A,"P001-050")</f>
        <v>0</v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t="str">
        <f t="shared" si="24"/>
        <v/>
      </c>
      <c r="W60" t="str">
        <f t="shared" si="24"/>
        <v/>
      </c>
      <c r="X60" t="str">
        <f t="shared" si="24"/>
        <v/>
      </c>
      <c r="Y60" t="str">
        <f t="shared" si="24"/>
        <v/>
      </c>
      <c r="Z60" t="str">
        <f t="shared" si="25"/>
        <v/>
      </c>
      <c r="AA60" t="str">
        <f t="shared" si="25"/>
        <v/>
      </c>
      <c r="AB60" t="str">
        <f t="shared" si="25"/>
        <v/>
      </c>
      <c r="AC60" t="str">
        <f t="shared" si="25"/>
        <v/>
      </c>
      <c r="AD60" t="str">
        <f t="shared" si="25"/>
        <v/>
      </c>
      <c r="AE60" t="str">
        <f t="shared" si="25"/>
        <v/>
      </c>
      <c r="AF60" t="str">
        <f t="shared" si="25"/>
        <v/>
      </c>
      <c r="AG60" t="str">
        <f t="shared" si="25"/>
        <v/>
      </c>
      <c r="AH60" t="str">
        <f t="shared" si="25"/>
        <v/>
      </c>
      <c r="AI60" t="str">
        <f t="shared" si="25"/>
        <v/>
      </c>
      <c r="AJ60" t="str">
        <f t="shared" si="26"/>
        <v/>
      </c>
      <c r="AK60" t="str">
        <f t="shared" si="26"/>
        <v/>
      </c>
      <c r="AL60" t="str">
        <f t="shared" si="26"/>
        <v/>
      </c>
      <c r="AM60" t="str">
        <f t="shared" si="26"/>
        <v/>
      </c>
      <c r="AN60" t="str">
        <f t="shared" si="26"/>
        <v/>
      </c>
      <c r="AO60" t="str">
        <f t="shared" si="26"/>
        <v/>
      </c>
      <c r="AP60" t="str">
        <f t="shared" si="26"/>
        <v/>
      </c>
      <c r="AQ60" t="str">
        <f t="shared" si="26"/>
        <v/>
      </c>
      <c r="AR60" t="str">
        <f t="shared" si="26"/>
        <v/>
      </c>
      <c r="AS60" t="str">
        <f t="shared" si="26"/>
        <v/>
      </c>
      <c r="AT60" t="str">
        <f t="shared" si="27"/>
        <v/>
      </c>
      <c r="AU60" t="str">
        <f t="shared" si="27"/>
        <v/>
      </c>
      <c r="AV60" t="str">
        <f t="shared" si="27"/>
        <v/>
      </c>
      <c r="AW60" t="str">
        <f t="shared" si="27"/>
        <v/>
      </c>
      <c r="AX60" t="str">
        <f t="shared" si="27"/>
        <v/>
      </c>
      <c r="AY60" t="str">
        <f t="shared" si="27"/>
        <v/>
      </c>
      <c r="AZ60" t="str">
        <f t="shared" si="27"/>
        <v/>
      </c>
      <c r="BA60" t="str">
        <f t="shared" si="27"/>
        <v/>
      </c>
      <c r="BB60" t="str">
        <f t="shared" si="27"/>
        <v/>
      </c>
      <c r="BC60" t="str">
        <f t="shared" si="27"/>
        <v/>
      </c>
      <c r="BD60" t="str">
        <f t="shared" si="28"/>
        <v/>
      </c>
      <c r="BE60" t="str">
        <f t="shared" si="28"/>
        <v/>
      </c>
      <c r="BF60" t="str">
        <f t="shared" si="28"/>
        <v/>
      </c>
      <c r="BG60" t="str">
        <f t="shared" si="28"/>
        <v/>
      </c>
      <c r="BH60" t="str">
        <f t="shared" si="28"/>
        <v/>
      </c>
      <c r="BI60" t="str">
        <f t="shared" si="28"/>
        <v/>
      </c>
      <c r="BJ60" t="str">
        <f t="shared" si="28"/>
        <v/>
      </c>
      <c r="BK60" t="str">
        <f t="shared" si="28"/>
        <v/>
      </c>
      <c r="BL60" t="str">
        <f t="shared" si="28"/>
        <v/>
      </c>
      <c r="BM60" t="str">
        <f t="shared" si="28"/>
        <v/>
      </c>
      <c r="BN60" t="str">
        <f t="shared" si="29"/>
        <v/>
      </c>
      <c r="BO60" t="str">
        <f t="shared" si="29"/>
        <v/>
      </c>
      <c r="BP60" t="str">
        <f t="shared" si="29"/>
        <v/>
      </c>
      <c r="BQ60" t="str">
        <f t="shared" si="29"/>
        <v/>
      </c>
      <c r="BR60" t="str">
        <f t="shared" si="29"/>
        <v/>
      </c>
      <c r="BS60" t="str">
        <f t="shared" si="29"/>
        <v/>
      </c>
      <c r="BT60" t="str">
        <f t="shared" si="29"/>
        <v/>
      </c>
      <c r="BU60" t="str">
        <f t="shared" si="29"/>
        <v/>
      </c>
      <c r="BV60" t="str">
        <f t="shared" si="29"/>
        <v/>
      </c>
      <c r="BW60" t="str">
        <f t="shared" si="29"/>
        <v/>
      </c>
    </row>
    <row r="61" spans="1:75" x14ac:dyDescent="0.25">
      <c r="A61" t="s">
        <v>99</v>
      </c>
      <c r="J61">
        <f>SUMIFS('Suivi Temps'!$D:$D,'Suivi Temps'!$A:$A,"P001-051")</f>
        <v>0</v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t="str">
        <f t="shared" si="24"/>
        <v/>
      </c>
      <c r="W61" t="str">
        <f t="shared" si="24"/>
        <v/>
      </c>
      <c r="X61" t="str">
        <f t="shared" si="24"/>
        <v/>
      </c>
      <c r="Y61" t="str">
        <f t="shared" si="24"/>
        <v/>
      </c>
      <c r="Z61" t="str">
        <f t="shared" si="25"/>
        <v/>
      </c>
      <c r="AA61" t="str">
        <f t="shared" si="25"/>
        <v/>
      </c>
      <c r="AB61" t="str">
        <f t="shared" si="25"/>
        <v/>
      </c>
      <c r="AC61" t="str">
        <f t="shared" si="25"/>
        <v/>
      </c>
      <c r="AD61" t="str">
        <f t="shared" si="25"/>
        <v/>
      </c>
      <c r="AE61" t="str">
        <f t="shared" si="25"/>
        <v/>
      </c>
      <c r="AF61" t="str">
        <f t="shared" si="25"/>
        <v/>
      </c>
      <c r="AG61" t="str">
        <f t="shared" si="25"/>
        <v/>
      </c>
      <c r="AH61" t="str">
        <f t="shared" si="25"/>
        <v/>
      </c>
      <c r="AI61" t="str">
        <f t="shared" si="25"/>
        <v/>
      </c>
      <c r="AJ61" t="str">
        <f t="shared" si="26"/>
        <v/>
      </c>
      <c r="AK61" t="str">
        <f t="shared" si="26"/>
        <v/>
      </c>
      <c r="AL61" t="str">
        <f t="shared" si="26"/>
        <v/>
      </c>
      <c r="AM61" t="str">
        <f t="shared" si="26"/>
        <v/>
      </c>
      <c r="AN61" t="str">
        <f t="shared" si="26"/>
        <v/>
      </c>
      <c r="AO61" t="str">
        <f t="shared" si="26"/>
        <v/>
      </c>
      <c r="AP61" t="str">
        <f t="shared" si="26"/>
        <v/>
      </c>
      <c r="AQ61" t="str">
        <f t="shared" si="26"/>
        <v/>
      </c>
      <c r="AR61" t="str">
        <f t="shared" si="26"/>
        <v/>
      </c>
      <c r="AS61" t="str">
        <f t="shared" si="26"/>
        <v/>
      </c>
      <c r="AT61" t="str">
        <f t="shared" si="27"/>
        <v/>
      </c>
      <c r="AU61" t="str">
        <f t="shared" si="27"/>
        <v/>
      </c>
      <c r="AV61" t="str">
        <f t="shared" si="27"/>
        <v/>
      </c>
      <c r="AW61" t="str">
        <f t="shared" si="27"/>
        <v/>
      </c>
      <c r="AX61" t="str">
        <f t="shared" si="27"/>
        <v/>
      </c>
      <c r="AY61" t="str">
        <f t="shared" si="27"/>
        <v/>
      </c>
      <c r="AZ61" t="str">
        <f t="shared" si="27"/>
        <v/>
      </c>
      <c r="BA61" t="str">
        <f t="shared" si="27"/>
        <v/>
      </c>
      <c r="BB61" t="str">
        <f t="shared" si="27"/>
        <v/>
      </c>
      <c r="BC61" t="str">
        <f t="shared" si="27"/>
        <v/>
      </c>
      <c r="BD61" t="str">
        <f t="shared" si="28"/>
        <v/>
      </c>
      <c r="BE61" t="str">
        <f t="shared" si="28"/>
        <v/>
      </c>
      <c r="BF61" t="str">
        <f t="shared" si="28"/>
        <v/>
      </c>
      <c r="BG61" t="str">
        <f t="shared" si="28"/>
        <v/>
      </c>
      <c r="BH61" t="str">
        <f t="shared" si="28"/>
        <v/>
      </c>
      <c r="BI61" t="str">
        <f t="shared" si="28"/>
        <v/>
      </c>
      <c r="BJ61" t="str">
        <f t="shared" si="28"/>
        <v/>
      </c>
      <c r="BK61" t="str">
        <f t="shared" si="28"/>
        <v/>
      </c>
      <c r="BL61" t="str">
        <f t="shared" si="28"/>
        <v/>
      </c>
      <c r="BM61" t="str">
        <f t="shared" si="28"/>
        <v/>
      </c>
      <c r="BN61" t="str">
        <f t="shared" si="29"/>
        <v/>
      </c>
      <c r="BO61" t="str">
        <f t="shared" si="29"/>
        <v/>
      </c>
      <c r="BP61" t="str">
        <f t="shared" si="29"/>
        <v/>
      </c>
      <c r="BQ61" t="str">
        <f t="shared" si="29"/>
        <v/>
      </c>
      <c r="BR61" t="str">
        <f t="shared" si="29"/>
        <v/>
      </c>
      <c r="BS61" t="str">
        <f t="shared" si="29"/>
        <v/>
      </c>
      <c r="BT61" t="str">
        <f t="shared" si="29"/>
        <v/>
      </c>
      <c r="BU61" t="str">
        <f t="shared" si="29"/>
        <v/>
      </c>
      <c r="BV61" t="str">
        <f t="shared" si="29"/>
        <v/>
      </c>
      <c r="BW61" t="str">
        <f t="shared" si="29"/>
        <v/>
      </c>
    </row>
  </sheetData>
  <mergeCells count="1">
    <mergeCell ref="A1:N1"/>
  </mergeCells>
  <conditionalFormatting sqref="P11:BW61">
    <cfRule type="expression" dxfId="1" priority="1">
      <formula>AND($E11&lt;&gt;"",$F11&lt;&gt;"",P$9&gt;=$E11,P$9&lt;=$F11)</formula>
    </cfRule>
  </conditionalFormatting>
  <dataValidations count="1">
    <dataValidation type="list" allowBlank="1" showErrorMessage="1" sqref="C11:C61 M11:M61" xr:uid="{00000000-0002-0000-0400-000001000000}">
      <formula1>$A$11:$A$61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400-000000000000}">
          <x14:formula1>
            <xm:f>Listes!$A$2:$A$5</xm:f>
          </x14:formula1>
          <xm:sqref>B11:B61</xm:sqref>
        </x14:dataValidation>
        <x14:dataValidation type="list" allowBlank="1" showErrorMessage="1" xr:uid="{00000000-0002-0000-0400-000002000000}">
          <x14:formula1>
            <xm:f>Utilisateurs!$A$2:$A$100</xm:f>
          </x14:formula1>
          <xm:sqref>I11:I61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W61"/>
  <sheetViews>
    <sheetView workbookViewId="0">
      <pane ySplit="10" topLeftCell="A11" activePane="bottomLeft" state="frozen"/>
      <selection pane="bottomLeft" activeCell="A11" sqref="A11"/>
    </sheetView>
  </sheetViews>
  <sheetFormatPr baseColWidth="10" defaultColWidth="9.140625" defaultRowHeight="15" x14ac:dyDescent="0.25"/>
  <cols>
    <col min="1" max="1" width="12" customWidth="1"/>
    <col min="2" max="2" width="8" customWidth="1"/>
    <col min="3" max="3" width="12" customWidth="1"/>
    <col min="4" max="4" width="28" customWidth="1"/>
    <col min="5" max="5" width="12" customWidth="1"/>
    <col min="6" max="7" width="14" customWidth="1"/>
    <col min="8" max="8" width="12" customWidth="1"/>
    <col min="9" max="9" width="24" customWidth="1"/>
    <col min="10" max="10" width="15" customWidth="1"/>
    <col min="11" max="11" width="14" customWidth="1"/>
    <col min="12" max="12" width="12" customWidth="1"/>
    <col min="13" max="13" width="16" customWidth="1"/>
    <col min="14" max="14" width="24" customWidth="1"/>
    <col min="15" max="75" width="3" customWidth="1"/>
  </cols>
  <sheetData>
    <row r="1" spans="1:75" ht="21" x14ac:dyDescent="0.35">
      <c r="A1" s="3" t="s">
        <v>17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3" spans="1:75" x14ac:dyDescent="0.25">
      <c r="A3" s="1" t="s">
        <v>169</v>
      </c>
      <c r="B3" s="1" t="s">
        <v>170</v>
      </c>
      <c r="C3" s="1" t="s">
        <v>171</v>
      </c>
    </row>
    <row r="4" spans="1:75" x14ac:dyDescent="0.25">
      <c r="A4" t="s">
        <v>172</v>
      </c>
      <c r="B4">
        <f>IFERROR(AVERAGE($L$11:$L$61),0)</f>
        <v>0.41666666666666669</v>
      </c>
      <c r="C4" t="s">
        <v>173</v>
      </c>
    </row>
    <row r="5" spans="1:75" x14ac:dyDescent="0.25">
      <c r="A5" t="s">
        <v>174</v>
      </c>
      <c r="B5">
        <f>SUM($H$11:$H$61)</f>
        <v>32000</v>
      </c>
      <c r="C5" t="s">
        <v>175</v>
      </c>
    </row>
    <row r="6" spans="1:75" x14ac:dyDescent="0.25">
      <c r="A6" t="s">
        <v>176</v>
      </c>
      <c r="B6">
        <f>SUM($G$11:$G$61)</f>
        <v>224</v>
      </c>
      <c r="C6" t="s">
        <v>177</v>
      </c>
    </row>
    <row r="7" spans="1:75" x14ac:dyDescent="0.25">
      <c r="A7" t="s">
        <v>178</v>
      </c>
      <c r="B7">
        <f>SUM($J$11:$J$61)</f>
        <v>0</v>
      </c>
      <c r="C7" t="s">
        <v>179</v>
      </c>
    </row>
    <row r="8" spans="1:75" x14ac:dyDescent="0.25">
      <c r="A8" t="s">
        <v>180</v>
      </c>
      <c r="B8">
        <f ca="1">COUNTIFS($F$11:$F$61,"&lt;"&amp;TODAY(),$K$11:$K$61,"")</f>
        <v>0</v>
      </c>
      <c r="C8" t="s">
        <v>181</v>
      </c>
    </row>
    <row r="9" spans="1:75" x14ac:dyDescent="0.25">
      <c r="O9" s="1" t="s">
        <v>182</v>
      </c>
      <c r="P9" s="2">
        <v>46204</v>
      </c>
      <c r="Q9" s="2">
        <v>46205</v>
      </c>
      <c r="R9" s="2">
        <v>46206</v>
      </c>
      <c r="S9" s="2">
        <v>46207</v>
      </c>
      <c r="T9" s="2">
        <v>46208</v>
      </c>
      <c r="U9" s="2">
        <v>46209</v>
      </c>
      <c r="V9" s="2">
        <v>46210</v>
      </c>
      <c r="W9" s="2">
        <v>46211</v>
      </c>
      <c r="X9" s="2">
        <v>46212</v>
      </c>
      <c r="Y9" s="2">
        <v>46213</v>
      </c>
      <c r="Z9" s="2">
        <v>46214</v>
      </c>
      <c r="AA9" s="2">
        <v>46215</v>
      </c>
      <c r="AB9" s="2">
        <v>46216</v>
      </c>
      <c r="AC9" s="2">
        <v>46217</v>
      </c>
      <c r="AD9" s="2">
        <v>46218</v>
      </c>
      <c r="AE9" s="2">
        <v>46219</v>
      </c>
      <c r="AF9" s="2">
        <v>46220</v>
      </c>
      <c r="AG9" s="2">
        <v>46221</v>
      </c>
      <c r="AH9" s="2">
        <v>46222</v>
      </c>
      <c r="AI9" s="2">
        <v>46223</v>
      </c>
      <c r="AJ9" s="2">
        <v>46224</v>
      </c>
      <c r="AK9" s="2">
        <v>46225</v>
      </c>
      <c r="AL9" s="2">
        <v>46226</v>
      </c>
      <c r="AM9" s="2">
        <v>46227</v>
      </c>
      <c r="AN9" s="2">
        <v>46228</v>
      </c>
      <c r="AO9" s="2">
        <v>46229</v>
      </c>
      <c r="AP9" s="2">
        <v>46230</v>
      </c>
      <c r="AQ9" s="2">
        <v>46231</v>
      </c>
      <c r="AR9" s="2">
        <v>46232</v>
      </c>
      <c r="AS9" s="2">
        <v>46233</v>
      </c>
      <c r="AT9" s="2">
        <v>46234</v>
      </c>
      <c r="AU9" s="2">
        <v>46235</v>
      </c>
      <c r="AV9" s="2">
        <v>46236</v>
      </c>
      <c r="AW9" s="2">
        <v>46237</v>
      </c>
      <c r="AX9" s="2">
        <v>46238</v>
      </c>
      <c r="AY9" s="2">
        <v>46239</v>
      </c>
      <c r="AZ9" s="2">
        <v>46240</v>
      </c>
      <c r="BA9" s="2">
        <v>46241</v>
      </c>
      <c r="BB9" s="2">
        <v>46242</v>
      </c>
      <c r="BC9" s="2">
        <v>46243</v>
      </c>
      <c r="BD9" s="2">
        <v>46244</v>
      </c>
      <c r="BE9" s="2">
        <v>46245</v>
      </c>
      <c r="BF9" s="2">
        <v>46246</v>
      </c>
      <c r="BG9" s="2">
        <v>46247</v>
      </c>
      <c r="BH9" s="2">
        <v>46248</v>
      </c>
      <c r="BI9" s="2">
        <v>46249</v>
      </c>
      <c r="BJ9" s="2">
        <v>46250</v>
      </c>
      <c r="BK9" s="2">
        <v>46251</v>
      </c>
      <c r="BL9" s="2">
        <v>46252</v>
      </c>
      <c r="BM9" s="2">
        <v>46253</v>
      </c>
      <c r="BN9" s="2">
        <v>46254</v>
      </c>
      <c r="BO9" s="2">
        <v>46255</v>
      </c>
      <c r="BP9" s="2">
        <v>46256</v>
      </c>
      <c r="BQ9" s="2">
        <v>46257</v>
      </c>
      <c r="BR9" s="2">
        <v>46258</v>
      </c>
      <c r="BS9" s="2">
        <v>46259</v>
      </c>
      <c r="BT9" s="2">
        <v>46260</v>
      </c>
      <c r="BU9" s="2">
        <v>46261</v>
      </c>
      <c r="BV9" s="2">
        <v>46262</v>
      </c>
      <c r="BW9" s="2">
        <v>46263</v>
      </c>
    </row>
    <row r="10" spans="1:75" x14ac:dyDescent="0.25">
      <c r="A10" s="1" t="s">
        <v>183</v>
      </c>
      <c r="B10" s="1" t="s">
        <v>184</v>
      </c>
      <c r="C10" s="1" t="s">
        <v>185</v>
      </c>
      <c r="D10" s="1" t="s">
        <v>186</v>
      </c>
      <c r="E10" s="1" t="s">
        <v>187</v>
      </c>
      <c r="F10" s="1" t="s">
        <v>188</v>
      </c>
      <c r="G10" s="1" t="s">
        <v>189</v>
      </c>
      <c r="H10" s="1" t="s">
        <v>190</v>
      </c>
      <c r="I10" s="1" t="s">
        <v>191</v>
      </c>
      <c r="J10" s="1" t="s">
        <v>192</v>
      </c>
      <c r="K10" s="1" t="s">
        <v>193</v>
      </c>
      <c r="L10" s="1" t="s">
        <v>172</v>
      </c>
      <c r="M10" s="1" t="s">
        <v>194</v>
      </c>
      <c r="N10" s="1" t="s">
        <v>195</v>
      </c>
    </row>
    <row r="11" spans="1:75" x14ac:dyDescent="0.25">
      <c r="A11" t="s">
        <v>109</v>
      </c>
      <c r="B11">
        <v>1</v>
      </c>
      <c r="D11" t="s">
        <v>196</v>
      </c>
      <c r="E11" s="2">
        <v>46204</v>
      </c>
      <c r="F11" s="2">
        <v>46214</v>
      </c>
      <c r="G11">
        <v>24</v>
      </c>
      <c r="H11">
        <v>3000</v>
      </c>
      <c r="I11" t="s">
        <v>197</v>
      </c>
      <c r="J11">
        <f>SUMIFS('Suivi Temps'!$D:$D,'Suivi Temps'!$A:$A,"P002-001")</f>
        <v>0</v>
      </c>
      <c r="L11">
        <v>0.7</v>
      </c>
      <c r="P11" t="str">
        <f t="shared" ref="P11:Y20" si="0">IF(AND($E11&lt;&gt;"",$F11&lt;&gt;"",P$9&gt;=$E11,P$9&lt;=$F11),"■","")</f>
        <v>■</v>
      </c>
      <c r="Q11" t="str">
        <f t="shared" si="0"/>
        <v>■</v>
      </c>
      <c r="R11" t="str">
        <f t="shared" si="0"/>
        <v>■</v>
      </c>
      <c r="S11" t="str">
        <f t="shared" si="0"/>
        <v>■</v>
      </c>
      <c r="T11" t="str">
        <f t="shared" si="0"/>
        <v>■</v>
      </c>
      <c r="U11" t="str">
        <f t="shared" si="0"/>
        <v>■</v>
      </c>
      <c r="V11" t="str">
        <f t="shared" si="0"/>
        <v>■</v>
      </c>
      <c r="W11" t="str">
        <f t="shared" si="0"/>
        <v>■</v>
      </c>
      <c r="X11" t="str">
        <f t="shared" si="0"/>
        <v>■</v>
      </c>
      <c r="Y11" t="str">
        <f t="shared" si="0"/>
        <v>■</v>
      </c>
      <c r="Z11" t="str">
        <f t="shared" ref="Z11:AI20" si="1">IF(AND($E11&lt;&gt;"",$F11&lt;&gt;"",Z$9&gt;=$E11,Z$9&lt;=$F11),"■","")</f>
        <v>■</v>
      </c>
      <c r="AA11" t="str">
        <f t="shared" si="1"/>
        <v/>
      </c>
      <c r="AB11" t="str">
        <f t="shared" si="1"/>
        <v/>
      </c>
      <c r="AC11" t="str">
        <f t="shared" si="1"/>
        <v/>
      </c>
      <c r="AD11" t="str">
        <f t="shared" si="1"/>
        <v/>
      </c>
      <c r="AE11" t="str">
        <f t="shared" si="1"/>
        <v/>
      </c>
      <c r="AF11" t="str">
        <f t="shared" si="1"/>
        <v/>
      </c>
      <c r="AG11" t="str">
        <f t="shared" si="1"/>
        <v/>
      </c>
      <c r="AH11" t="str">
        <f t="shared" si="1"/>
        <v/>
      </c>
      <c r="AI11" t="str">
        <f t="shared" si="1"/>
        <v/>
      </c>
      <c r="AJ11" t="str">
        <f t="shared" ref="AJ11:AS20" si="2">IF(AND($E11&lt;&gt;"",$F11&lt;&gt;"",AJ$9&gt;=$E11,AJ$9&lt;=$F11),"■","")</f>
        <v/>
      </c>
      <c r="AK11" t="str">
        <f t="shared" si="2"/>
        <v/>
      </c>
      <c r="AL11" t="str">
        <f t="shared" si="2"/>
        <v/>
      </c>
      <c r="AM11" t="str">
        <f t="shared" si="2"/>
        <v/>
      </c>
      <c r="AN11" t="str">
        <f t="shared" si="2"/>
        <v/>
      </c>
      <c r="AO11" t="str">
        <f t="shared" si="2"/>
        <v/>
      </c>
      <c r="AP11" t="str">
        <f t="shared" si="2"/>
        <v/>
      </c>
      <c r="AQ11" t="str">
        <f t="shared" si="2"/>
        <v/>
      </c>
      <c r="AR11" t="str">
        <f t="shared" si="2"/>
        <v/>
      </c>
      <c r="AS11" t="str">
        <f t="shared" si="2"/>
        <v/>
      </c>
      <c r="AT11" t="str">
        <f t="shared" ref="AT11:BC20" si="3">IF(AND($E11&lt;&gt;"",$F11&lt;&gt;"",AT$9&gt;=$E11,AT$9&lt;=$F11),"■","")</f>
        <v/>
      </c>
      <c r="AU11" t="str">
        <f t="shared" si="3"/>
        <v/>
      </c>
      <c r="AV11" t="str">
        <f t="shared" si="3"/>
        <v/>
      </c>
      <c r="AW11" t="str">
        <f t="shared" si="3"/>
        <v/>
      </c>
      <c r="AX11" t="str">
        <f t="shared" si="3"/>
        <v/>
      </c>
      <c r="AY11" t="str">
        <f t="shared" si="3"/>
        <v/>
      </c>
      <c r="AZ11" t="str">
        <f t="shared" si="3"/>
        <v/>
      </c>
      <c r="BA11" t="str">
        <f t="shared" si="3"/>
        <v/>
      </c>
      <c r="BB11" t="str">
        <f t="shared" si="3"/>
        <v/>
      </c>
      <c r="BC11" t="str">
        <f t="shared" si="3"/>
        <v/>
      </c>
      <c r="BD11" t="str">
        <f t="shared" ref="BD11:BM20" si="4">IF(AND($E11&lt;&gt;"",$F11&lt;&gt;"",BD$9&gt;=$E11,BD$9&lt;=$F11),"■","")</f>
        <v/>
      </c>
      <c r="BE11" t="str">
        <f t="shared" si="4"/>
        <v/>
      </c>
      <c r="BF11" t="str">
        <f t="shared" si="4"/>
        <v/>
      </c>
      <c r="BG11" t="str">
        <f t="shared" si="4"/>
        <v/>
      </c>
      <c r="BH11" t="str">
        <f t="shared" si="4"/>
        <v/>
      </c>
      <c r="BI11" t="str">
        <f t="shared" si="4"/>
        <v/>
      </c>
      <c r="BJ11" t="str">
        <f t="shared" si="4"/>
        <v/>
      </c>
      <c r="BK11" t="str">
        <f t="shared" si="4"/>
        <v/>
      </c>
      <c r="BL11" t="str">
        <f t="shared" si="4"/>
        <v/>
      </c>
      <c r="BM11" t="str">
        <f t="shared" si="4"/>
        <v/>
      </c>
      <c r="BN11" t="str">
        <f t="shared" ref="BN11:BW20" si="5">IF(AND($E11&lt;&gt;"",$F11&lt;&gt;"",BN$9&gt;=$E11,BN$9&lt;=$F11),"■","")</f>
        <v/>
      </c>
      <c r="BO11" t="str">
        <f t="shared" si="5"/>
        <v/>
      </c>
      <c r="BP11" t="str">
        <f t="shared" si="5"/>
        <v/>
      </c>
      <c r="BQ11" t="str">
        <f t="shared" si="5"/>
        <v/>
      </c>
      <c r="BR11" t="str">
        <f t="shared" si="5"/>
        <v/>
      </c>
      <c r="BS11" t="str">
        <f t="shared" si="5"/>
        <v/>
      </c>
      <c r="BT11" t="str">
        <f t="shared" si="5"/>
        <v/>
      </c>
      <c r="BU11" t="str">
        <f t="shared" si="5"/>
        <v/>
      </c>
      <c r="BV11" t="str">
        <f t="shared" si="5"/>
        <v/>
      </c>
      <c r="BW11" t="str">
        <f t="shared" si="5"/>
        <v/>
      </c>
    </row>
    <row r="12" spans="1:75" x14ac:dyDescent="0.25">
      <c r="A12" t="s">
        <v>110</v>
      </c>
      <c r="B12">
        <v>2</v>
      </c>
      <c r="C12" t="s">
        <v>109</v>
      </c>
      <c r="D12" t="s">
        <v>38</v>
      </c>
      <c r="E12" s="2">
        <v>46204</v>
      </c>
      <c r="F12" s="2">
        <v>46206</v>
      </c>
      <c r="G12">
        <v>6</v>
      </c>
      <c r="H12">
        <v>600</v>
      </c>
      <c r="I12" t="s">
        <v>9</v>
      </c>
      <c r="J12">
        <f>SUMIFS('Suivi Temps'!$D:$D,'Suivi Temps'!$A:$A,"P002-002")</f>
        <v>0</v>
      </c>
      <c r="L12">
        <v>1</v>
      </c>
      <c r="P12" t="str">
        <f t="shared" si="0"/>
        <v>■</v>
      </c>
      <c r="Q12" t="str">
        <f t="shared" si="0"/>
        <v>■</v>
      </c>
      <c r="R12" t="str">
        <f t="shared" si="0"/>
        <v>■</v>
      </c>
      <c r="S12" t="str">
        <f t="shared" si="0"/>
        <v/>
      </c>
      <c r="T12" t="str">
        <f t="shared" si="0"/>
        <v/>
      </c>
      <c r="U12" t="str">
        <f t="shared" si="0"/>
        <v/>
      </c>
      <c r="V12" t="str">
        <f t="shared" si="0"/>
        <v/>
      </c>
      <c r="W12" t="str">
        <f t="shared" si="0"/>
        <v/>
      </c>
      <c r="X12" t="str">
        <f t="shared" si="0"/>
        <v/>
      </c>
      <c r="Y12" t="str">
        <f t="shared" si="0"/>
        <v/>
      </c>
      <c r="Z12" t="str">
        <f t="shared" si="1"/>
        <v/>
      </c>
      <c r="AA12" t="str">
        <f t="shared" si="1"/>
        <v/>
      </c>
      <c r="AB12" t="str">
        <f t="shared" si="1"/>
        <v/>
      </c>
      <c r="AC12" t="str">
        <f t="shared" si="1"/>
        <v/>
      </c>
      <c r="AD12" t="str">
        <f t="shared" si="1"/>
        <v/>
      </c>
      <c r="AE12" t="str">
        <f t="shared" si="1"/>
        <v/>
      </c>
      <c r="AF12" t="str">
        <f t="shared" si="1"/>
        <v/>
      </c>
      <c r="AG12" t="str">
        <f t="shared" si="1"/>
        <v/>
      </c>
      <c r="AH12" t="str">
        <f t="shared" si="1"/>
        <v/>
      </c>
      <c r="AI12" t="str">
        <f t="shared" si="1"/>
        <v/>
      </c>
      <c r="AJ12" t="str">
        <f t="shared" si="2"/>
        <v/>
      </c>
      <c r="AK12" t="str">
        <f t="shared" si="2"/>
        <v/>
      </c>
      <c r="AL12" t="str">
        <f t="shared" si="2"/>
        <v/>
      </c>
      <c r="AM12" t="str">
        <f t="shared" si="2"/>
        <v/>
      </c>
      <c r="AN12" t="str">
        <f t="shared" si="2"/>
        <v/>
      </c>
      <c r="AO12" t="str">
        <f t="shared" si="2"/>
        <v/>
      </c>
      <c r="AP12" t="str">
        <f t="shared" si="2"/>
        <v/>
      </c>
      <c r="AQ12" t="str">
        <f t="shared" si="2"/>
        <v/>
      </c>
      <c r="AR12" t="str">
        <f t="shared" si="2"/>
        <v/>
      </c>
      <c r="AS12" t="str">
        <f t="shared" si="2"/>
        <v/>
      </c>
      <c r="AT12" t="str">
        <f t="shared" si="3"/>
        <v/>
      </c>
      <c r="AU12" t="str">
        <f t="shared" si="3"/>
        <v/>
      </c>
      <c r="AV12" t="str">
        <f t="shared" si="3"/>
        <v/>
      </c>
      <c r="AW12" t="str">
        <f t="shared" si="3"/>
        <v/>
      </c>
      <c r="AX12" t="str">
        <f t="shared" si="3"/>
        <v/>
      </c>
      <c r="AY12" t="str">
        <f t="shared" si="3"/>
        <v/>
      </c>
      <c r="AZ12" t="str">
        <f t="shared" si="3"/>
        <v/>
      </c>
      <c r="BA12" t="str">
        <f t="shared" si="3"/>
        <v/>
      </c>
      <c r="BB12" t="str">
        <f t="shared" si="3"/>
        <v/>
      </c>
      <c r="BC12" t="str">
        <f t="shared" si="3"/>
        <v/>
      </c>
      <c r="BD12" t="str">
        <f t="shared" si="4"/>
        <v/>
      </c>
      <c r="BE12" t="str">
        <f t="shared" si="4"/>
        <v/>
      </c>
      <c r="BF12" t="str">
        <f t="shared" si="4"/>
        <v/>
      </c>
      <c r="BG12" t="str">
        <f t="shared" si="4"/>
        <v/>
      </c>
      <c r="BH12" t="str">
        <f t="shared" si="4"/>
        <v/>
      </c>
      <c r="BI12" t="str">
        <f t="shared" si="4"/>
        <v/>
      </c>
      <c r="BJ12" t="str">
        <f t="shared" si="4"/>
        <v/>
      </c>
      <c r="BK12" t="str">
        <f t="shared" si="4"/>
        <v/>
      </c>
      <c r="BL12" t="str">
        <f t="shared" si="4"/>
        <v/>
      </c>
      <c r="BM12" t="str">
        <f t="shared" si="4"/>
        <v/>
      </c>
      <c r="BN12" t="str">
        <f t="shared" si="5"/>
        <v/>
      </c>
      <c r="BO12" t="str">
        <f t="shared" si="5"/>
        <v/>
      </c>
      <c r="BP12" t="str">
        <f t="shared" si="5"/>
        <v/>
      </c>
      <c r="BQ12" t="str">
        <f t="shared" si="5"/>
        <v/>
      </c>
      <c r="BR12" t="str">
        <f t="shared" si="5"/>
        <v/>
      </c>
      <c r="BS12" t="str">
        <f t="shared" si="5"/>
        <v/>
      </c>
      <c r="BT12" t="str">
        <f t="shared" si="5"/>
        <v/>
      </c>
      <c r="BU12" t="str">
        <f t="shared" si="5"/>
        <v/>
      </c>
      <c r="BV12" t="str">
        <f t="shared" si="5"/>
        <v/>
      </c>
      <c r="BW12" t="str">
        <f t="shared" si="5"/>
        <v/>
      </c>
    </row>
    <row r="13" spans="1:75" x14ac:dyDescent="0.25">
      <c r="A13" t="s">
        <v>111</v>
      </c>
      <c r="B13">
        <v>3</v>
      </c>
      <c r="C13" t="s">
        <v>110</v>
      </c>
      <c r="D13" t="s">
        <v>198</v>
      </c>
      <c r="E13" s="2">
        <v>46206</v>
      </c>
      <c r="F13" s="2">
        <v>46211</v>
      </c>
      <c r="G13">
        <v>10</v>
      </c>
      <c r="H13">
        <v>1200</v>
      </c>
      <c r="I13" t="s">
        <v>15</v>
      </c>
      <c r="J13">
        <f>SUMIFS('Suivi Temps'!$D:$D,'Suivi Temps'!$A:$A,"P002-003")</f>
        <v>0</v>
      </c>
      <c r="L13">
        <v>0.6</v>
      </c>
      <c r="P13" t="str">
        <f t="shared" si="0"/>
        <v/>
      </c>
      <c r="Q13" t="str">
        <f t="shared" si="0"/>
        <v/>
      </c>
      <c r="R13" t="str">
        <f t="shared" si="0"/>
        <v>■</v>
      </c>
      <c r="S13" t="str">
        <f t="shared" si="0"/>
        <v>■</v>
      </c>
      <c r="T13" t="str">
        <f t="shared" si="0"/>
        <v>■</v>
      </c>
      <c r="U13" t="str">
        <f t="shared" si="0"/>
        <v>■</v>
      </c>
      <c r="V13" t="str">
        <f t="shared" si="0"/>
        <v>■</v>
      </c>
      <c r="W13" t="str">
        <f t="shared" si="0"/>
        <v>■</v>
      </c>
      <c r="X13" t="str">
        <f t="shared" si="0"/>
        <v/>
      </c>
      <c r="Y13" t="str">
        <f t="shared" si="0"/>
        <v/>
      </c>
      <c r="Z13" t="str">
        <f t="shared" si="1"/>
        <v/>
      </c>
      <c r="AA13" t="str">
        <f t="shared" si="1"/>
        <v/>
      </c>
      <c r="AB13" t="str">
        <f t="shared" si="1"/>
        <v/>
      </c>
      <c r="AC13" t="str">
        <f t="shared" si="1"/>
        <v/>
      </c>
      <c r="AD13" t="str">
        <f t="shared" si="1"/>
        <v/>
      </c>
      <c r="AE13" t="str">
        <f t="shared" si="1"/>
        <v/>
      </c>
      <c r="AF13" t="str">
        <f t="shared" si="1"/>
        <v/>
      </c>
      <c r="AG13" t="str">
        <f t="shared" si="1"/>
        <v/>
      </c>
      <c r="AH13" t="str">
        <f t="shared" si="1"/>
        <v/>
      </c>
      <c r="AI13" t="str">
        <f t="shared" si="1"/>
        <v/>
      </c>
      <c r="AJ13" t="str">
        <f t="shared" si="2"/>
        <v/>
      </c>
      <c r="AK13" t="str">
        <f t="shared" si="2"/>
        <v/>
      </c>
      <c r="AL13" t="str">
        <f t="shared" si="2"/>
        <v/>
      </c>
      <c r="AM13" t="str">
        <f t="shared" si="2"/>
        <v/>
      </c>
      <c r="AN13" t="str">
        <f t="shared" si="2"/>
        <v/>
      </c>
      <c r="AO13" t="str">
        <f t="shared" si="2"/>
        <v/>
      </c>
      <c r="AP13" t="str">
        <f t="shared" si="2"/>
        <v/>
      </c>
      <c r="AQ13" t="str">
        <f t="shared" si="2"/>
        <v/>
      </c>
      <c r="AR13" t="str">
        <f t="shared" si="2"/>
        <v/>
      </c>
      <c r="AS13" t="str">
        <f t="shared" si="2"/>
        <v/>
      </c>
      <c r="AT13" t="str">
        <f t="shared" si="3"/>
        <v/>
      </c>
      <c r="AU13" t="str">
        <f t="shared" si="3"/>
        <v/>
      </c>
      <c r="AV13" t="str">
        <f t="shared" si="3"/>
        <v/>
      </c>
      <c r="AW13" t="str">
        <f t="shared" si="3"/>
        <v/>
      </c>
      <c r="AX13" t="str">
        <f t="shared" si="3"/>
        <v/>
      </c>
      <c r="AY13" t="str">
        <f t="shared" si="3"/>
        <v/>
      </c>
      <c r="AZ13" t="str">
        <f t="shared" si="3"/>
        <v/>
      </c>
      <c r="BA13" t="str">
        <f t="shared" si="3"/>
        <v/>
      </c>
      <c r="BB13" t="str">
        <f t="shared" si="3"/>
        <v/>
      </c>
      <c r="BC13" t="str">
        <f t="shared" si="3"/>
        <v/>
      </c>
      <c r="BD13" t="str">
        <f t="shared" si="4"/>
        <v/>
      </c>
      <c r="BE13" t="str">
        <f t="shared" si="4"/>
        <v/>
      </c>
      <c r="BF13" t="str">
        <f t="shared" si="4"/>
        <v/>
      </c>
      <c r="BG13" t="str">
        <f t="shared" si="4"/>
        <v/>
      </c>
      <c r="BH13" t="str">
        <f t="shared" si="4"/>
        <v/>
      </c>
      <c r="BI13" t="str">
        <f t="shared" si="4"/>
        <v/>
      </c>
      <c r="BJ13" t="str">
        <f t="shared" si="4"/>
        <v/>
      </c>
      <c r="BK13" t="str">
        <f t="shared" si="4"/>
        <v/>
      </c>
      <c r="BL13" t="str">
        <f t="shared" si="4"/>
        <v/>
      </c>
      <c r="BM13" t="str">
        <f t="shared" si="4"/>
        <v/>
      </c>
      <c r="BN13" t="str">
        <f t="shared" si="5"/>
        <v/>
      </c>
      <c r="BO13" t="str">
        <f t="shared" si="5"/>
        <v/>
      </c>
      <c r="BP13" t="str">
        <f t="shared" si="5"/>
        <v/>
      </c>
      <c r="BQ13" t="str">
        <f t="shared" si="5"/>
        <v/>
      </c>
      <c r="BR13" t="str">
        <f t="shared" si="5"/>
        <v/>
      </c>
      <c r="BS13" t="str">
        <f t="shared" si="5"/>
        <v/>
      </c>
      <c r="BT13" t="str">
        <f t="shared" si="5"/>
        <v/>
      </c>
      <c r="BU13" t="str">
        <f t="shared" si="5"/>
        <v/>
      </c>
      <c r="BV13" t="str">
        <f t="shared" si="5"/>
        <v/>
      </c>
      <c r="BW13" t="str">
        <f t="shared" si="5"/>
        <v/>
      </c>
    </row>
    <row r="14" spans="1:75" x14ac:dyDescent="0.25">
      <c r="A14" t="s">
        <v>112</v>
      </c>
      <c r="B14">
        <v>4</v>
      </c>
      <c r="C14" t="s">
        <v>111</v>
      </c>
      <c r="D14" t="s">
        <v>199</v>
      </c>
      <c r="E14" s="2">
        <v>46207</v>
      </c>
      <c r="F14" s="2">
        <v>46211</v>
      </c>
      <c r="G14">
        <v>4</v>
      </c>
      <c r="H14">
        <v>500</v>
      </c>
      <c r="I14" t="s">
        <v>25</v>
      </c>
      <c r="J14">
        <f>SUMIFS('Suivi Temps'!$D:$D,'Suivi Temps'!$A:$A,"P002-004")</f>
        <v>0</v>
      </c>
      <c r="L14">
        <v>0.5</v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>■</v>
      </c>
      <c r="T14" t="str">
        <f t="shared" si="0"/>
        <v>■</v>
      </c>
      <c r="U14" t="str">
        <f t="shared" si="0"/>
        <v>■</v>
      </c>
      <c r="V14" t="str">
        <f t="shared" si="0"/>
        <v>■</v>
      </c>
      <c r="W14" t="str">
        <f t="shared" si="0"/>
        <v>■</v>
      </c>
      <c r="X14" t="str">
        <f t="shared" si="0"/>
        <v/>
      </c>
      <c r="Y14" t="str">
        <f t="shared" si="0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 t="str">
        <f t="shared" si="1"/>
        <v/>
      </c>
      <c r="AD14" t="str">
        <f t="shared" si="1"/>
        <v/>
      </c>
      <c r="AE14" t="str">
        <f t="shared" si="1"/>
        <v/>
      </c>
      <c r="AF14" t="str">
        <f t="shared" si="1"/>
        <v/>
      </c>
      <c r="AG14" t="str">
        <f t="shared" si="1"/>
        <v/>
      </c>
      <c r="AH14" t="str">
        <f t="shared" si="1"/>
        <v/>
      </c>
      <c r="AI14" t="str">
        <f t="shared" si="1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3"/>
        <v/>
      </c>
      <c r="AU14" t="str">
        <f t="shared" si="3"/>
        <v/>
      </c>
      <c r="AV14" t="str">
        <f t="shared" si="3"/>
        <v/>
      </c>
      <c r="AW14" t="str">
        <f t="shared" si="3"/>
        <v/>
      </c>
      <c r="AX14" t="str">
        <f t="shared" si="3"/>
        <v/>
      </c>
      <c r="AY14" t="str">
        <f t="shared" si="3"/>
        <v/>
      </c>
      <c r="AZ14" t="str">
        <f t="shared" si="3"/>
        <v/>
      </c>
      <c r="BA14" t="str">
        <f t="shared" si="3"/>
        <v/>
      </c>
      <c r="BB14" t="str">
        <f t="shared" si="3"/>
        <v/>
      </c>
      <c r="BC14" t="str">
        <f t="shared" si="3"/>
        <v/>
      </c>
      <c r="BD14" t="str">
        <f t="shared" si="4"/>
        <v/>
      </c>
      <c r="BE14" t="str">
        <f t="shared" si="4"/>
        <v/>
      </c>
      <c r="BF14" t="str">
        <f t="shared" si="4"/>
        <v/>
      </c>
      <c r="BG14" t="str">
        <f t="shared" si="4"/>
        <v/>
      </c>
      <c r="BH14" t="str">
        <f t="shared" si="4"/>
        <v/>
      </c>
      <c r="BI14" t="str">
        <f t="shared" si="4"/>
        <v/>
      </c>
      <c r="BJ14" t="str">
        <f t="shared" si="4"/>
        <v/>
      </c>
      <c r="BK14" t="str">
        <f t="shared" si="4"/>
        <v/>
      </c>
      <c r="BL14" t="str">
        <f t="shared" si="4"/>
        <v/>
      </c>
      <c r="BM14" t="str">
        <f t="shared" si="4"/>
        <v/>
      </c>
      <c r="BN14" t="str">
        <f t="shared" si="5"/>
        <v/>
      </c>
      <c r="BO14" t="str">
        <f t="shared" si="5"/>
        <v/>
      </c>
      <c r="BP14" t="str">
        <f t="shared" si="5"/>
        <v/>
      </c>
      <c r="BQ14" t="str">
        <f t="shared" si="5"/>
        <v/>
      </c>
      <c r="BR14" t="str">
        <f t="shared" si="5"/>
        <v/>
      </c>
      <c r="BS14" t="str">
        <f t="shared" si="5"/>
        <v/>
      </c>
      <c r="BT14" t="str">
        <f t="shared" si="5"/>
        <v/>
      </c>
      <c r="BU14" t="str">
        <f t="shared" si="5"/>
        <v/>
      </c>
      <c r="BV14" t="str">
        <f t="shared" si="5"/>
        <v/>
      </c>
      <c r="BW14" t="str">
        <f t="shared" si="5"/>
        <v/>
      </c>
    </row>
    <row r="15" spans="1:75" x14ac:dyDescent="0.25">
      <c r="A15" t="s">
        <v>113</v>
      </c>
      <c r="B15">
        <v>1</v>
      </c>
      <c r="D15" t="s">
        <v>200</v>
      </c>
      <c r="E15" s="2">
        <v>46215</v>
      </c>
      <c r="F15" s="2">
        <v>46250</v>
      </c>
      <c r="G15">
        <v>80</v>
      </c>
      <c r="H15">
        <v>12000</v>
      </c>
      <c r="I15" t="s">
        <v>201</v>
      </c>
      <c r="J15">
        <f>SUMIFS('Suivi Temps'!$D:$D,'Suivi Temps'!$A:$A,"P002-005")</f>
        <v>0</v>
      </c>
      <c r="L15">
        <v>0.25</v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0"/>
        <v/>
      </c>
      <c r="V15" t="str">
        <f t="shared" si="0"/>
        <v/>
      </c>
      <c r="W15" t="str">
        <f t="shared" si="0"/>
        <v/>
      </c>
      <c r="X15" t="str">
        <f t="shared" si="0"/>
        <v/>
      </c>
      <c r="Y15" t="str">
        <f t="shared" si="0"/>
        <v/>
      </c>
      <c r="Z15" t="str">
        <f t="shared" si="1"/>
        <v/>
      </c>
      <c r="AA15" t="str">
        <f t="shared" si="1"/>
        <v>■</v>
      </c>
      <c r="AB15" t="str">
        <f t="shared" si="1"/>
        <v>■</v>
      </c>
      <c r="AC15" t="str">
        <f t="shared" si="1"/>
        <v>■</v>
      </c>
      <c r="AD15" t="str">
        <f t="shared" si="1"/>
        <v>■</v>
      </c>
      <c r="AE15" t="str">
        <f t="shared" si="1"/>
        <v>■</v>
      </c>
      <c r="AF15" t="str">
        <f t="shared" si="1"/>
        <v>■</v>
      </c>
      <c r="AG15" t="str">
        <f t="shared" si="1"/>
        <v>■</v>
      </c>
      <c r="AH15" t="str">
        <f t="shared" si="1"/>
        <v>■</v>
      </c>
      <c r="AI15" t="str">
        <f t="shared" si="1"/>
        <v>■</v>
      </c>
      <c r="AJ15" t="str">
        <f t="shared" si="2"/>
        <v>■</v>
      </c>
      <c r="AK15" t="str">
        <f t="shared" si="2"/>
        <v>■</v>
      </c>
      <c r="AL15" t="str">
        <f t="shared" si="2"/>
        <v>■</v>
      </c>
      <c r="AM15" t="str">
        <f t="shared" si="2"/>
        <v>■</v>
      </c>
      <c r="AN15" t="str">
        <f t="shared" si="2"/>
        <v>■</v>
      </c>
      <c r="AO15" t="str">
        <f t="shared" si="2"/>
        <v>■</v>
      </c>
      <c r="AP15" t="str">
        <f t="shared" si="2"/>
        <v>■</v>
      </c>
      <c r="AQ15" t="str">
        <f t="shared" si="2"/>
        <v>■</v>
      </c>
      <c r="AR15" t="str">
        <f t="shared" si="2"/>
        <v>■</v>
      </c>
      <c r="AS15" t="str">
        <f t="shared" si="2"/>
        <v>■</v>
      </c>
      <c r="AT15" t="str">
        <f t="shared" si="3"/>
        <v>■</v>
      </c>
      <c r="AU15" t="str">
        <f t="shared" si="3"/>
        <v>■</v>
      </c>
      <c r="AV15" t="str">
        <f t="shared" si="3"/>
        <v>■</v>
      </c>
      <c r="AW15" t="str">
        <f t="shared" si="3"/>
        <v>■</v>
      </c>
      <c r="AX15" t="str">
        <f t="shared" si="3"/>
        <v>■</v>
      </c>
      <c r="AY15" t="str">
        <f t="shared" si="3"/>
        <v>■</v>
      </c>
      <c r="AZ15" t="str">
        <f t="shared" si="3"/>
        <v>■</v>
      </c>
      <c r="BA15" t="str">
        <f t="shared" si="3"/>
        <v>■</v>
      </c>
      <c r="BB15" t="str">
        <f t="shared" si="3"/>
        <v>■</v>
      </c>
      <c r="BC15" t="str">
        <f t="shared" si="3"/>
        <v>■</v>
      </c>
      <c r="BD15" t="str">
        <f t="shared" si="4"/>
        <v>■</v>
      </c>
      <c r="BE15" t="str">
        <f t="shared" si="4"/>
        <v>■</v>
      </c>
      <c r="BF15" t="str">
        <f t="shared" si="4"/>
        <v>■</v>
      </c>
      <c r="BG15" t="str">
        <f t="shared" si="4"/>
        <v>■</v>
      </c>
      <c r="BH15" t="str">
        <f t="shared" si="4"/>
        <v>■</v>
      </c>
      <c r="BI15" t="str">
        <f t="shared" si="4"/>
        <v>■</v>
      </c>
      <c r="BJ15" t="str">
        <f t="shared" si="4"/>
        <v>■</v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5"/>
        <v/>
      </c>
      <c r="BO15" t="str">
        <f t="shared" si="5"/>
        <v/>
      </c>
      <c r="BP15" t="str">
        <f t="shared" si="5"/>
        <v/>
      </c>
      <c r="BQ15" t="str">
        <f t="shared" si="5"/>
        <v/>
      </c>
      <c r="BR15" t="str">
        <f t="shared" si="5"/>
        <v/>
      </c>
      <c r="BS15" t="str">
        <f t="shared" si="5"/>
        <v/>
      </c>
      <c r="BT15" t="str">
        <f t="shared" si="5"/>
        <v/>
      </c>
      <c r="BU15" t="str">
        <f t="shared" si="5"/>
        <v/>
      </c>
      <c r="BV15" t="str">
        <f t="shared" si="5"/>
        <v/>
      </c>
      <c r="BW15" t="str">
        <f t="shared" si="5"/>
        <v/>
      </c>
    </row>
    <row r="16" spans="1:75" x14ac:dyDescent="0.25">
      <c r="A16" t="s">
        <v>114</v>
      </c>
      <c r="B16">
        <v>2</v>
      </c>
      <c r="C16" t="s">
        <v>113</v>
      </c>
      <c r="D16" t="s">
        <v>202</v>
      </c>
      <c r="E16" s="2">
        <v>46215</v>
      </c>
      <c r="F16" s="2">
        <v>46233</v>
      </c>
      <c r="G16">
        <v>22</v>
      </c>
      <c r="H16">
        <v>3500</v>
      </c>
      <c r="I16" t="s">
        <v>25</v>
      </c>
      <c r="J16">
        <f>SUMIFS('Suivi Temps'!$D:$D,'Suivi Temps'!$A:$A,"P002-006")</f>
        <v>0</v>
      </c>
      <c r="L16">
        <v>0.4</v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  <c r="Z16" t="str">
        <f t="shared" si="1"/>
        <v/>
      </c>
      <c r="AA16" t="str">
        <f t="shared" si="1"/>
        <v>■</v>
      </c>
      <c r="AB16" t="str">
        <f t="shared" si="1"/>
        <v>■</v>
      </c>
      <c r="AC16" t="str">
        <f t="shared" si="1"/>
        <v>■</v>
      </c>
      <c r="AD16" t="str">
        <f t="shared" si="1"/>
        <v>■</v>
      </c>
      <c r="AE16" t="str">
        <f t="shared" si="1"/>
        <v>■</v>
      </c>
      <c r="AF16" t="str">
        <f t="shared" si="1"/>
        <v>■</v>
      </c>
      <c r="AG16" t="str">
        <f t="shared" si="1"/>
        <v>■</v>
      </c>
      <c r="AH16" t="str">
        <f t="shared" si="1"/>
        <v>■</v>
      </c>
      <c r="AI16" t="str">
        <f t="shared" si="1"/>
        <v>■</v>
      </c>
      <c r="AJ16" t="str">
        <f t="shared" si="2"/>
        <v>■</v>
      </c>
      <c r="AK16" t="str">
        <f t="shared" si="2"/>
        <v>■</v>
      </c>
      <c r="AL16" t="str">
        <f t="shared" si="2"/>
        <v>■</v>
      </c>
      <c r="AM16" t="str">
        <f t="shared" si="2"/>
        <v>■</v>
      </c>
      <c r="AN16" t="str">
        <f t="shared" si="2"/>
        <v>■</v>
      </c>
      <c r="AO16" t="str">
        <f t="shared" si="2"/>
        <v>■</v>
      </c>
      <c r="AP16" t="str">
        <f t="shared" si="2"/>
        <v>■</v>
      </c>
      <c r="AQ16" t="str">
        <f t="shared" si="2"/>
        <v>■</v>
      </c>
      <c r="AR16" t="str">
        <f t="shared" si="2"/>
        <v>■</v>
      </c>
      <c r="AS16" t="str">
        <f t="shared" si="2"/>
        <v>■</v>
      </c>
      <c r="AT16" t="str">
        <f t="shared" si="3"/>
        <v/>
      </c>
      <c r="AU16" t="str">
        <f t="shared" si="3"/>
        <v/>
      </c>
      <c r="AV16" t="str">
        <f t="shared" si="3"/>
        <v/>
      </c>
      <c r="AW16" t="str">
        <f t="shared" si="3"/>
        <v/>
      </c>
      <c r="AX16" t="str">
        <f t="shared" si="3"/>
        <v/>
      </c>
      <c r="AY16" t="str">
        <f t="shared" si="3"/>
        <v/>
      </c>
      <c r="AZ16" t="str">
        <f t="shared" si="3"/>
        <v/>
      </c>
      <c r="BA16" t="str">
        <f t="shared" si="3"/>
        <v/>
      </c>
      <c r="BB16" t="str">
        <f t="shared" si="3"/>
        <v/>
      </c>
      <c r="BC16" t="str">
        <f t="shared" si="3"/>
        <v/>
      </c>
      <c r="BD16" t="str">
        <f t="shared" si="4"/>
        <v/>
      </c>
      <c r="BE16" t="str">
        <f t="shared" si="4"/>
        <v/>
      </c>
      <c r="BF16" t="str">
        <f t="shared" si="4"/>
        <v/>
      </c>
      <c r="BG16" t="str">
        <f t="shared" si="4"/>
        <v/>
      </c>
      <c r="BH16" t="str">
        <f t="shared" si="4"/>
        <v/>
      </c>
      <c r="BI16" t="str">
        <f t="shared" si="4"/>
        <v/>
      </c>
      <c r="BJ16" t="str">
        <f t="shared" si="4"/>
        <v/>
      </c>
      <c r="BK16" t="str">
        <f t="shared" si="4"/>
        <v/>
      </c>
      <c r="BL16" t="str">
        <f t="shared" si="4"/>
        <v/>
      </c>
      <c r="BM16" t="str">
        <f t="shared" si="4"/>
        <v/>
      </c>
      <c r="BN16" t="str">
        <f t="shared" si="5"/>
        <v/>
      </c>
      <c r="BO16" t="str">
        <f t="shared" si="5"/>
        <v/>
      </c>
      <c r="BP16" t="str">
        <f t="shared" si="5"/>
        <v/>
      </c>
      <c r="BQ16" t="str">
        <f t="shared" si="5"/>
        <v/>
      </c>
      <c r="BR16" t="str">
        <f t="shared" si="5"/>
        <v/>
      </c>
      <c r="BS16" t="str">
        <f t="shared" si="5"/>
        <v/>
      </c>
      <c r="BT16" t="str">
        <f t="shared" si="5"/>
        <v/>
      </c>
      <c r="BU16" t="str">
        <f t="shared" si="5"/>
        <v/>
      </c>
      <c r="BV16" t="str">
        <f t="shared" si="5"/>
        <v/>
      </c>
      <c r="BW16" t="str">
        <f t="shared" si="5"/>
        <v/>
      </c>
    </row>
    <row r="17" spans="1:75" x14ac:dyDescent="0.25">
      <c r="A17" t="s">
        <v>115</v>
      </c>
      <c r="B17">
        <v>3</v>
      </c>
      <c r="C17" t="s">
        <v>114</v>
      </c>
      <c r="D17" t="s">
        <v>203</v>
      </c>
      <c r="E17" s="2">
        <v>46222</v>
      </c>
      <c r="F17" s="2">
        <v>46250</v>
      </c>
      <c r="G17">
        <v>36</v>
      </c>
      <c r="H17">
        <v>5200</v>
      </c>
      <c r="I17" t="s">
        <v>15</v>
      </c>
      <c r="J17">
        <f>SUMIFS('Suivi Temps'!$D:$D,'Suivi Temps'!$A:$A,"P002-007")</f>
        <v>0</v>
      </c>
      <c r="L17">
        <v>0.2</v>
      </c>
      <c r="P17" t="str">
        <f t="shared" si="0"/>
        <v/>
      </c>
      <c r="Q17" t="str">
        <f t="shared" si="0"/>
        <v/>
      </c>
      <c r="R17" t="str">
        <f t="shared" si="0"/>
        <v/>
      </c>
      <c r="S17" t="str">
        <f t="shared" si="0"/>
        <v/>
      </c>
      <c r="T17" t="str">
        <f t="shared" si="0"/>
        <v/>
      </c>
      <c r="U17" t="str">
        <f t="shared" si="0"/>
        <v/>
      </c>
      <c r="V17" t="str">
        <f t="shared" si="0"/>
        <v/>
      </c>
      <c r="W17" t="str">
        <f t="shared" si="0"/>
        <v/>
      </c>
      <c r="X17" t="str">
        <f t="shared" si="0"/>
        <v/>
      </c>
      <c r="Y17" t="str">
        <f t="shared" si="0"/>
        <v/>
      </c>
      <c r="Z17" t="str">
        <f t="shared" si="1"/>
        <v/>
      </c>
      <c r="AA17" t="str">
        <f t="shared" si="1"/>
        <v/>
      </c>
      <c r="AB17" t="str">
        <f t="shared" si="1"/>
        <v/>
      </c>
      <c r="AC17" t="str">
        <f t="shared" si="1"/>
        <v/>
      </c>
      <c r="AD17" t="str">
        <f t="shared" si="1"/>
        <v/>
      </c>
      <c r="AE17" t="str">
        <f t="shared" si="1"/>
        <v/>
      </c>
      <c r="AF17" t="str">
        <f t="shared" si="1"/>
        <v/>
      </c>
      <c r="AG17" t="str">
        <f t="shared" si="1"/>
        <v/>
      </c>
      <c r="AH17" t="str">
        <f t="shared" si="1"/>
        <v>■</v>
      </c>
      <c r="AI17" t="str">
        <f t="shared" si="1"/>
        <v>■</v>
      </c>
      <c r="AJ17" t="str">
        <f t="shared" si="2"/>
        <v>■</v>
      </c>
      <c r="AK17" t="str">
        <f t="shared" si="2"/>
        <v>■</v>
      </c>
      <c r="AL17" t="str">
        <f t="shared" si="2"/>
        <v>■</v>
      </c>
      <c r="AM17" t="str">
        <f t="shared" si="2"/>
        <v>■</v>
      </c>
      <c r="AN17" t="str">
        <f t="shared" si="2"/>
        <v>■</v>
      </c>
      <c r="AO17" t="str">
        <f t="shared" si="2"/>
        <v>■</v>
      </c>
      <c r="AP17" t="str">
        <f t="shared" si="2"/>
        <v>■</v>
      </c>
      <c r="AQ17" t="str">
        <f t="shared" si="2"/>
        <v>■</v>
      </c>
      <c r="AR17" t="str">
        <f t="shared" si="2"/>
        <v>■</v>
      </c>
      <c r="AS17" t="str">
        <f t="shared" si="2"/>
        <v>■</v>
      </c>
      <c r="AT17" t="str">
        <f t="shared" si="3"/>
        <v>■</v>
      </c>
      <c r="AU17" t="str">
        <f t="shared" si="3"/>
        <v>■</v>
      </c>
      <c r="AV17" t="str">
        <f t="shared" si="3"/>
        <v>■</v>
      </c>
      <c r="AW17" t="str">
        <f t="shared" si="3"/>
        <v>■</v>
      </c>
      <c r="AX17" t="str">
        <f t="shared" si="3"/>
        <v>■</v>
      </c>
      <c r="AY17" t="str">
        <f t="shared" si="3"/>
        <v>■</v>
      </c>
      <c r="AZ17" t="str">
        <f t="shared" si="3"/>
        <v>■</v>
      </c>
      <c r="BA17" t="str">
        <f t="shared" si="3"/>
        <v>■</v>
      </c>
      <c r="BB17" t="str">
        <f t="shared" si="3"/>
        <v>■</v>
      </c>
      <c r="BC17" t="str">
        <f t="shared" si="3"/>
        <v>■</v>
      </c>
      <c r="BD17" t="str">
        <f t="shared" si="4"/>
        <v>■</v>
      </c>
      <c r="BE17" t="str">
        <f t="shared" si="4"/>
        <v>■</v>
      </c>
      <c r="BF17" t="str">
        <f t="shared" si="4"/>
        <v>■</v>
      </c>
      <c r="BG17" t="str">
        <f t="shared" si="4"/>
        <v>■</v>
      </c>
      <c r="BH17" t="str">
        <f t="shared" si="4"/>
        <v>■</v>
      </c>
      <c r="BI17" t="str">
        <f t="shared" si="4"/>
        <v>■</v>
      </c>
      <c r="BJ17" t="str">
        <f t="shared" si="4"/>
        <v>■</v>
      </c>
      <c r="BK17" t="str">
        <f t="shared" si="4"/>
        <v/>
      </c>
      <c r="BL17" t="str">
        <f t="shared" si="4"/>
        <v/>
      </c>
      <c r="BM17" t="str">
        <f t="shared" si="4"/>
        <v/>
      </c>
      <c r="BN17" t="str">
        <f t="shared" si="5"/>
        <v/>
      </c>
      <c r="BO17" t="str">
        <f t="shared" si="5"/>
        <v/>
      </c>
      <c r="BP17" t="str">
        <f t="shared" si="5"/>
        <v/>
      </c>
      <c r="BQ17" t="str">
        <f t="shared" si="5"/>
        <v/>
      </c>
      <c r="BR17" t="str">
        <f t="shared" si="5"/>
        <v/>
      </c>
      <c r="BS17" t="str">
        <f t="shared" si="5"/>
        <v/>
      </c>
      <c r="BT17" t="str">
        <f t="shared" si="5"/>
        <v/>
      </c>
      <c r="BU17" t="str">
        <f t="shared" si="5"/>
        <v/>
      </c>
      <c r="BV17" t="str">
        <f t="shared" si="5"/>
        <v/>
      </c>
      <c r="BW17" t="str">
        <f t="shared" si="5"/>
        <v/>
      </c>
    </row>
    <row r="18" spans="1:75" x14ac:dyDescent="0.25">
      <c r="A18" t="s">
        <v>116</v>
      </c>
      <c r="B18">
        <v>4</v>
      </c>
      <c r="C18" t="s">
        <v>115</v>
      </c>
      <c r="D18" t="s">
        <v>204</v>
      </c>
      <c r="E18" s="2">
        <v>46224</v>
      </c>
      <c r="F18" s="2">
        <v>46247</v>
      </c>
      <c r="G18">
        <v>12</v>
      </c>
      <c r="H18">
        <v>1500</v>
      </c>
      <c r="I18" t="s">
        <v>28</v>
      </c>
      <c r="J18">
        <f>SUMIFS('Suivi Temps'!$D:$D,'Suivi Temps'!$A:$A,"P002-008")</f>
        <v>0</v>
      </c>
      <c r="L18">
        <v>0.1</v>
      </c>
      <c r="P18" t="str">
        <f t="shared" si="0"/>
        <v/>
      </c>
      <c r="Q18" t="str">
        <f t="shared" si="0"/>
        <v/>
      </c>
      <c r="R18" t="str">
        <f t="shared" si="0"/>
        <v/>
      </c>
      <c r="S18" t="str">
        <f t="shared" si="0"/>
        <v/>
      </c>
      <c r="T18" t="str">
        <f t="shared" si="0"/>
        <v/>
      </c>
      <c r="U18" t="str">
        <f t="shared" si="0"/>
        <v/>
      </c>
      <c r="V18" t="str">
        <f t="shared" si="0"/>
        <v/>
      </c>
      <c r="W18" t="str">
        <f t="shared" si="0"/>
        <v/>
      </c>
      <c r="X18" t="str">
        <f t="shared" si="0"/>
        <v/>
      </c>
      <c r="Y18" t="str">
        <f t="shared" si="0"/>
        <v/>
      </c>
      <c r="Z18" t="str">
        <f t="shared" si="1"/>
        <v/>
      </c>
      <c r="AA18" t="str">
        <f t="shared" si="1"/>
        <v/>
      </c>
      <c r="AB18" t="str">
        <f t="shared" si="1"/>
        <v/>
      </c>
      <c r="AC18" t="str">
        <f t="shared" si="1"/>
        <v/>
      </c>
      <c r="AD18" t="str">
        <f t="shared" si="1"/>
        <v/>
      </c>
      <c r="AE18" t="str">
        <f t="shared" si="1"/>
        <v/>
      </c>
      <c r="AF18" t="str">
        <f t="shared" si="1"/>
        <v/>
      </c>
      <c r="AG18" t="str">
        <f t="shared" si="1"/>
        <v/>
      </c>
      <c r="AH18" t="str">
        <f t="shared" si="1"/>
        <v/>
      </c>
      <c r="AI18" t="str">
        <f t="shared" si="1"/>
        <v/>
      </c>
      <c r="AJ18" t="str">
        <f t="shared" si="2"/>
        <v>■</v>
      </c>
      <c r="AK18" t="str">
        <f t="shared" si="2"/>
        <v>■</v>
      </c>
      <c r="AL18" t="str">
        <f t="shared" si="2"/>
        <v>■</v>
      </c>
      <c r="AM18" t="str">
        <f t="shared" si="2"/>
        <v>■</v>
      </c>
      <c r="AN18" t="str">
        <f t="shared" si="2"/>
        <v>■</v>
      </c>
      <c r="AO18" t="str">
        <f t="shared" si="2"/>
        <v>■</v>
      </c>
      <c r="AP18" t="str">
        <f t="shared" si="2"/>
        <v>■</v>
      </c>
      <c r="AQ18" t="str">
        <f t="shared" si="2"/>
        <v>■</v>
      </c>
      <c r="AR18" t="str">
        <f t="shared" si="2"/>
        <v>■</v>
      </c>
      <c r="AS18" t="str">
        <f t="shared" si="2"/>
        <v>■</v>
      </c>
      <c r="AT18" t="str">
        <f t="shared" si="3"/>
        <v>■</v>
      </c>
      <c r="AU18" t="str">
        <f t="shared" si="3"/>
        <v>■</v>
      </c>
      <c r="AV18" t="str">
        <f t="shared" si="3"/>
        <v>■</v>
      </c>
      <c r="AW18" t="str">
        <f t="shared" si="3"/>
        <v>■</v>
      </c>
      <c r="AX18" t="str">
        <f t="shared" si="3"/>
        <v>■</v>
      </c>
      <c r="AY18" t="str">
        <f t="shared" si="3"/>
        <v>■</v>
      </c>
      <c r="AZ18" t="str">
        <f t="shared" si="3"/>
        <v>■</v>
      </c>
      <c r="BA18" t="str">
        <f t="shared" si="3"/>
        <v>■</v>
      </c>
      <c r="BB18" t="str">
        <f t="shared" si="3"/>
        <v>■</v>
      </c>
      <c r="BC18" t="str">
        <f t="shared" si="3"/>
        <v>■</v>
      </c>
      <c r="BD18" t="str">
        <f t="shared" si="4"/>
        <v>■</v>
      </c>
      <c r="BE18" t="str">
        <f t="shared" si="4"/>
        <v>■</v>
      </c>
      <c r="BF18" t="str">
        <f t="shared" si="4"/>
        <v>■</v>
      </c>
      <c r="BG18" t="str">
        <f t="shared" si="4"/>
        <v>■</v>
      </c>
      <c r="BH18" t="str">
        <f t="shared" si="4"/>
        <v/>
      </c>
      <c r="BI18" t="str">
        <f t="shared" si="4"/>
        <v/>
      </c>
      <c r="BJ18" t="str">
        <f t="shared" si="4"/>
        <v/>
      </c>
      <c r="BK18" t="str">
        <f t="shared" si="4"/>
        <v/>
      </c>
      <c r="BL18" t="str">
        <f t="shared" si="4"/>
        <v/>
      </c>
      <c r="BM18" t="str">
        <f t="shared" si="4"/>
        <v/>
      </c>
      <c r="BN18" t="str">
        <f t="shared" si="5"/>
        <v/>
      </c>
      <c r="BO18" t="str">
        <f t="shared" si="5"/>
        <v/>
      </c>
      <c r="BP18" t="str">
        <f t="shared" si="5"/>
        <v/>
      </c>
      <c r="BQ18" t="str">
        <f t="shared" si="5"/>
        <v/>
      </c>
      <c r="BR18" t="str">
        <f t="shared" si="5"/>
        <v/>
      </c>
      <c r="BS18" t="str">
        <f t="shared" si="5"/>
        <v/>
      </c>
      <c r="BT18" t="str">
        <f t="shared" si="5"/>
        <v/>
      </c>
      <c r="BU18" t="str">
        <f t="shared" si="5"/>
        <v/>
      </c>
      <c r="BV18" t="str">
        <f t="shared" si="5"/>
        <v/>
      </c>
      <c r="BW18" t="str">
        <f t="shared" si="5"/>
        <v/>
      </c>
    </row>
    <row r="19" spans="1:75" x14ac:dyDescent="0.25">
      <c r="A19" t="s">
        <v>117</v>
      </c>
      <c r="B19">
        <v>1</v>
      </c>
      <c r="D19" t="s">
        <v>205</v>
      </c>
      <c r="E19" s="2">
        <v>46240</v>
      </c>
      <c r="F19" s="2">
        <v>46288</v>
      </c>
      <c r="G19">
        <v>30</v>
      </c>
      <c r="H19">
        <v>4500</v>
      </c>
      <c r="I19" t="s">
        <v>28</v>
      </c>
      <c r="J19">
        <f>SUMIFS('Suivi Temps'!$D:$D,'Suivi Temps'!$A:$A,"P002-009")</f>
        <v>0</v>
      </c>
      <c r="L19">
        <v>0</v>
      </c>
      <c r="P19" t="str">
        <f t="shared" si="0"/>
        <v/>
      </c>
      <c r="Q19" t="str">
        <f t="shared" si="0"/>
        <v/>
      </c>
      <c r="R19" t="str">
        <f t="shared" si="0"/>
        <v/>
      </c>
      <c r="S19" t="str">
        <f t="shared" si="0"/>
        <v/>
      </c>
      <c r="T19" t="str">
        <f t="shared" si="0"/>
        <v/>
      </c>
      <c r="U19" t="str">
        <f t="shared" si="0"/>
        <v/>
      </c>
      <c r="V19" t="str">
        <f t="shared" si="0"/>
        <v/>
      </c>
      <c r="W19" t="str">
        <f t="shared" si="0"/>
        <v/>
      </c>
      <c r="X19" t="str">
        <f t="shared" si="0"/>
        <v/>
      </c>
      <c r="Y19" t="str">
        <f t="shared" si="0"/>
        <v/>
      </c>
      <c r="Z19" t="str">
        <f t="shared" si="1"/>
        <v/>
      </c>
      <c r="AA19" t="str">
        <f t="shared" si="1"/>
        <v/>
      </c>
      <c r="AB19" t="str">
        <f t="shared" si="1"/>
        <v/>
      </c>
      <c r="AC19" t="str">
        <f t="shared" si="1"/>
        <v/>
      </c>
      <c r="AD19" t="str">
        <f t="shared" si="1"/>
        <v/>
      </c>
      <c r="AE19" t="str">
        <f t="shared" si="1"/>
        <v/>
      </c>
      <c r="AF19" t="str">
        <f t="shared" si="1"/>
        <v/>
      </c>
      <c r="AG19" t="str">
        <f t="shared" si="1"/>
        <v/>
      </c>
      <c r="AH19" t="str">
        <f t="shared" si="1"/>
        <v/>
      </c>
      <c r="AI19" t="str">
        <f t="shared" si="1"/>
        <v/>
      </c>
      <c r="AJ19" t="str">
        <f t="shared" si="2"/>
        <v/>
      </c>
      <c r="AK19" t="str">
        <f t="shared" si="2"/>
        <v/>
      </c>
      <c r="AL19" t="str">
        <f t="shared" si="2"/>
        <v/>
      </c>
      <c r="AM19" t="str">
        <f t="shared" si="2"/>
        <v/>
      </c>
      <c r="AN19" t="str">
        <f t="shared" si="2"/>
        <v/>
      </c>
      <c r="AO19" t="str">
        <f t="shared" si="2"/>
        <v/>
      </c>
      <c r="AP19" t="str">
        <f t="shared" si="2"/>
        <v/>
      </c>
      <c r="AQ19" t="str">
        <f t="shared" si="2"/>
        <v/>
      </c>
      <c r="AR19" t="str">
        <f t="shared" si="2"/>
        <v/>
      </c>
      <c r="AS19" t="str">
        <f t="shared" si="2"/>
        <v/>
      </c>
      <c r="AT19" t="str">
        <f t="shared" si="3"/>
        <v/>
      </c>
      <c r="AU19" t="str">
        <f t="shared" si="3"/>
        <v/>
      </c>
      <c r="AV19" t="str">
        <f t="shared" si="3"/>
        <v/>
      </c>
      <c r="AW19" t="str">
        <f t="shared" si="3"/>
        <v/>
      </c>
      <c r="AX19" t="str">
        <f t="shared" si="3"/>
        <v/>
      </c>
      <c r="AY19" t="str">
        <f t="shared" si="3"/>
        <v/>
      </c>
      <c r="AZ19" t="str">
        <f t="shared" si="3"/>
        <v>■</v>
      </c>
      <c r="BA19" t="str">
        <f t="shared" si="3"/>
        <v>■</v>
      </c>
      <c r="BB19" t="str">
        <f t="shared" si="3"/>
        <v>■</v>
      </c>
      <c r="BC19" t="str">
        <f t="shared" si="3"/>
        <v>■</v>
      </c>
      <c r="BD19" t="str">
        <f t="shared" si="4"/>
        <v>■</v>
      </c>
      <c r="BE19" t="str">
        <f t="shared" si="4"/>
        <v>■</v>
      </c>
      <c r="BF19" t="str">
        <f t="shared" si="4"/>
        <v>■</v>
      </c>
      <c r="BG19" t="str">
        <f t="shared" si="4"/>
        <v>■</v>
      </c>
      <c r="BH19" t="str">
        <f t="shared" si="4"/>
        <v>■</v>
      </c>
      <c r="BI19" t="str">
        <f t="shared" si="4"/>
        <v>■</v>
      </c>
      <c r="BJ19" t="str">
        <f t="shared" si="4"/>
        <v>■</v>
      </c>
      <c r="BK19" t="str">
        <f t="shared" si="4"/>
        <v>■</v>
      </c>
      <c r="BL19" t="str">
        <f t="shared" si="4"/>
        <v>■</v>
      </c>
      <c r="BM19" t="str">
        <f t="shared" si="4"/>
        <v>■</v>
      </c>
      <c r="BN19" t="str">
        <f t="shared" si="5"/>
        <v>■</v>
      </c>
      <c r="BO19" t="str">
        <f t="shared" si="5"/>
        <v>■</v>
      </c>
      <c r="BP19" t="str">
        <f t="shared" si="5"/>
        <v>■</v>
      </c>
      <c r="BQ19" t="str">
        <f t="shared" si="5"/>
        <v>■</v>
      </c>
      <c r="BR19" t="str">
        <f t="shared" si="5"/>
        <v>■</v>
      </c>
      <c r="BS19" t="str">
        <f t="shared" si="5"/>
        <v>■</v>
      </c>
      <c r="BT19" t="str">
        <f t="shared" si="5"/>
        <v>■</v>
      </c>
      <c r="BU19" t="str">
        <f t="shared" si="5"/>
        <v>■</v>
      </c>
      <c r="BV19" t="str">
        <f t="shared" si="5"/>
        <v>■</v>
      </c>
      <c r="BW19" t="str">
        <f t="shared" si="5"/>
        <v>■</v>
      </c>
    </row>
    <row r="20" spans="1:75" x14ac:dyDescent="0.25">
      <c r="A20" t="s">
        <v>118</v>
      </c>
      <c r="J20">
        <f>SUMIFS('Suivi Temps'!$D:$D,'Suivi Temps'!$A:$A,"P002-010")</f>
        <v>0</v>
      </c>
      <c r="P20" t="str">
        <f t="shared" si="0"/>
        <v/>
      </c>
      <c r="Q20" t="str">
        <f t="shared" si="0"/>
        <v/>
      </c>
      <c r="R20" t="str">
        <f t="shared" si="0"/>
        <v/>
      </c>
      <c r="S20" t="str">
        <f t="shared" si="0"/>
        <v/>
      </c>
      <c r="T20" t="str">
        <f t="shared" si="0"/>
        <v/>
      </c>
      <c r="U20" t="str">
        <f t="shared" si="0"/>
        <v/>
      </c>
      <c r="V20" t="str">
        <f t="shared" si="0"/>
        <v/>
      </c>
      <c r="W20" t="str">
        <f t="shared" si="0"/>
        <v/>
      </c>
      <c r="X20" t="str">
        <f t="shared" si="0"/>
        <v/>
      </c>
      <c r="Y20" t="str">
        <f t="shared" si="0"/>
        <v/>
      </c>
      <c r="Z20" t="str">
        <f t="shared" si="1"/>
        <v/>
      </c>
      <c r="AA20" t="str">
        <f t="shared" si="1"/>
        <v/>
      </c>
      <c r="AB20" t="str">
        <f t="shared" si="1"/>
        <v/>
      </c>
      <c r="AC20" t="str">
        <f t="shared" si="1"/>
        <v/>
      </c>
      <c r="AD20" t="str">
        <f t="shared" si="1"/>
        <v/>
      </c>
      <c r="AE20" t="str">
        <f t="shared" si="1"/>
        <v/>
      </c>
      <c r="AF20" t="str">
        <f t="shared" si="1"/>
        <v/>
      </c>
      <c r="AG20" t="str">
        <f t="shared" si="1"/>
        <v/>
      </c>
      <c r="AH20" t="str">
        <f t="shared" si="1"/>
        <v/>
      </c>
      <c r="AI20" t="str">
        <f t="shared" si="1"/>
        <v/>
      </c>
      <c r="AJ20" t="str">
        <f t="shared" si="2"/>
        <v/>
      </c>
      <c r="AK20" t="str">
        <f t="shared" si="2"/>
        <v/>
      </c>
      <c r="AL20" t="str">
        <f t="shared" si="2"/>
        <v/>
      </c>
      <c r="AM20" t="str">
        <f t="shared" si="2"/>
        <v/>
      </c>
      <c r="AN20" t="str">
        <f t="shared" si="2"/>
        <v/>
      </c>
      <c r="AO20" t="str">
        <f t="shared" si="2"/>
        <v/>
      </c>
      <c r="AP20" t="str">
        <f t="shared" si="2"/>
        <v/>
      </c>
      <c r="AQ20" t="str">
        <f t="shared" si="2"/>
        <v/>
      </c>
      <c r="AR20" t="str">
        <f t="shared" si="2"/>
        <v/>
      </c>
      <c r="AS20" t="str">
        <f t="shared" si="2"/>
        <v/>
      </c>
      <c r="AT20" t="str">
        <f t="shared" si="3"/>
        <v/>
      </c>
      <c r="AU20" t="str">
        <f t="shared" si="3"/>
        <v/>
      </c>
      <c r="AV20" t="str">
        <f t="shared" si="3"/>
        <v/>
      </c>
      <c r="AW20" t="str">
        <f t="shared" si="3"/>
        <v/>
      </c>
      <c r="AX20" t="str">
        <f t="shared" si="3"/>
        <v/>
      </c>
      <c r="AY20" t="str">
        <f t="shared" si="3"/>
        <v/>
      </c>
      <c r="AZ20" t="str">
        <f t="shared" si="3"/>
        <v/>
      </c>
      <c r="BA20" t="str">
        <f t="shared" si="3"/>
        <v/>
      </c>
      <c r="BB20" t="str">
        <f t="shared" si="3"/>
        <v/>
      </c>
      <c r="BC20" t="str">
        <f t="shared" si="3"/>
        <v/>
      </c>
      <c r="BD20" t="str">
        <f t="shared" si="4"/>
        <v/>
      </c>
      <c r="BE20" t="str">
        <f t="shared" si="4"/>
        <v/>
      </c>
      <c r="BF20" t="str">
        <f t="shared" si="4"/>
        <v/>
      </c>
      <c r="BG20" t="str">
        <f t="shared" si="4"/>
        <v/>
      </c>
      <c r="BH20" t="str">
        <f t="shared" si="4"/>
        <v/>
      </c>
      <c r="BI20" t="str">
        <f t="shared" si="4"/>
        <v/>
      </c>
      <c r="BJ20" t="str">
        <f t="shared" si="4"/>
        <v/>
      </c>
      <c r="BK20" t="str">
        <f t="shared" si="4"/>
        <v/>
      </c>
      <c r="BL20" t="str">
        <f t="shared" si="4"/>
        <v/>
      </c>
      <c r="BM20" t="str">
        <f t="shared" si="4"/>
        <v/>
      </c>
      <c r="BN20" t="str">
        <f t="shared" si="5"/>
        <v/>
      </c>
      <c r="BO20" t="str">
        <f t="shared" si="5"/>
        <v/>
      </c>
      <c r="BP20" t="str">
        <f t="shared" si="5"/>
        <v/>
      </c>
      <c r="BQ20" t="str">
        <f t="shared" si="5"/>
        <v/>
      </c>
      <c r="BR20" t="str">
        <f t="shared" si="5"/>
        <v/>
      </c>
      <c r="BS20" t="str">
        <f t="shared" si="5"/>
        <v/>
      </c>
      <c r="BT20" t="str">
        <f t="shared" si="5"/>
        <v/>
      </c>
      <c r="BU20" t="str">
        <f t="shared" si="5"/>
        <v/>
      </c>
      <c r="BV20" t="str">
        <f t="shared" si="5"/>
        <v/>
      </c>
      <c r="BW20" t="str">
        <f t="shared" si="5"/>
        <v/>
      </c>
    </row>
    <row r="21" spans="1:75" x14ac:dyDescent="0.25">
      <c r="A21" t="s">
        <v>119</v>
      </c>
      <c r="J21">
        <f>SUMIFS('Suivi Temps'!$D:$D,'Suivi Temps'!$A:$A,"P002-011")</f>
        <v>0</v>
      </c>
      <c r="P21" t="str">
        <f t="shared" ref="P21:Y30" si="6">IF(AND($E21&lt;&gt;"",$F21&lt;&gt;"",P$9&gt;=$E21,P$9&lt;=$F21),"■","")</f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ref="Z21:AI30" si="7">IF(AND($E21&lt;&gt;"",$F21&lt;&gt;"",Z$9&gt;=$E21,Z$9&lt;=$F21),"■","")</f>
        <v/>
      </c>
      <c r="AA21" t="str">
        <f t="shared" si="7"/>
        <v/>
      </c>
      <c r="AB21" t="str">
        <f t="shared" si="7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ref="AJ21:AS30" si="8">IF(AND($E21&lt;&gt;"",$F21&lt;&gt;"",AJ$9&gt;=$E21,AJ$9&lt;=$F21),"■","")</f>
        <v/>
      </c>
      <c r="AK21" t="str">
        <f t="shared" si="8"/>
        <v/>
      </c>
      <c r="AL21" t="str">
        <f t="shared" si="8"/>
        <v/>
      </c>
      <c r="AM21" t="str">
        <f t="shared" si="8"/>
        <v/>
      </c>
      <c r="AN21" t="str">
        <f t="shared" si="8"/>
        <v/>
      </c>
      <c r="AO21" t="str">
        <f t="shared" si="8"/>
        <v/>
      </c>
      <c r="AP21" t="str">
        <f t="shared" si="8"/>
        <v/>
      </c>
      <c r="AQ21" t="str">
        <f t="shared" si="8"/>
        <v/>
      </c>
      <c r="AR21" t="str">
        <f t="shared" si="8"/>
        <v/>
      </c>
      <c r="AS21" t="str">
        <f t="shared" si="8"/>
        <v/>
      </c>
      <c r="AT21" t="str">
        <f t="shared" ref="AT21:BC30" si="9">IF(AND($E21&lt;&gt;"",$F21&lt;&gt;"",AT$9&gt;=$E21,AT$9&lt;=$F21),"■","")</f>
        <v/>
      </c>
      <c r="AU21" t="str">
        <f t="shared" si="9"/>
        <v/>
      </c>
      <c r="AV21" t="str">
        <f t="shared" si="9"/>
        <v/>
      </c>
      <c r="AW21" t="str">
        <f t="shared" si="9"/>
        <v/>
      </c>
      <c r="AX21" t="str">
        <f t="shared" si="9"/>
        <v/>
      </c>
      <c r="AY21" t="str">
        <f t="shared" si="9"/>
        <v/>
      </c>
      <c r="AZ21" t="str">
        <f t="shared" si="9"/>
        <v/>
      </c>
      <c r="BA21" t="str">
        <f t="shared" si="9"/>
        <v/>
      </c>
      <c r="BB21" t="str">
        <f t="shared" si="9"/>
        <v/>
      </c>
      <c r="BC21" t="str">
        <f t="shared" si="9"/>
        <v/>
      </c>
      <c r="BD21" t="str">
        <f t="shared" ref="BD21:BM30" si="10">IF(AND($E21&lt;&gt;"",$F21&lt;&gt;"",BD$9&gt;=$E21,BD$9&lt;=$F21),"■","")</f>
        <v/>
      </c>
      <c r="BE21" t="str">
        <f t="shared" si="10"/>
        <v/>
      </c>
      <c r="BF21" t="str">
        <f t="shared" si="10"/>
        <v/>
      </c>
      <c r="BG21" t="str">
        <f t="shared" si="10"/>
        <v/>
      </c>
      <c r="BH21" t="str">
        <f t="shared" si="10"/>
        <v/>
      </c>
      <c r="BI21" t="str">
        <f t="shared" si="10"/>
        <v/>
      </c>
      <c r="BJ21" t="str">
        <f t="shared" si="10"/>
        <v/>
      </c>
      <c r="BK21" t="str">
        <f t="shared" si="10"/>
        <v/>
      </c>
      <c r="BL21" t="str">
        <f t="shared" si="10"/>
        <v/>
      </c>
      <c r="BM21" t="str">
        <f t="shared" si="10"/>
        <v/>
      </c>
      <c r="BN21" t="str">
        <f t="shared" ref="BN21:BW30" si="11">IF(AND($E21&lt;&gt;"",$F21&lt;&gt;"",BN$9&gt;=$E21,BN$9&lt;=$F21),"■","")</f>
        <v/>
      </c>
      <c r="BO21" t="str">
        <f t="shared" si="11"/>
        <v/>
      </c>
      <c r="BP21" t="str">
        <f t="shared" si="11"/>
        <v/>
      </c>
      <c r="BQ21" t="str">
        <f t="shared" si="11"/>
        <v/>
      </c>
      <c r="BR21" t="str">
        <f t="shared" si="11"/>
        <v/>
      </c>
      <c r="BS21" t="str">
        <f t="shared" si="11"/>
        <v/>
      </c>
      <c r="BT21" t="str">
        <f t="shared" si="11"/>
        <v/>
      </c>
      <c r="BU21" t="str">
        <f t="shared" si="11"/>
        <v/>
      </c>
      <c r="BV21" t="str">
        <f t="shared" si="11"/>
        <v/>
      </c>
      <c r="BW21" t="str">
        <f t="shared" si="11"/>
        <v/>
      </c>
    </row>
    <row r="22" spans="1:75" x14ac:dyDescent="0.25">
      <c r="A22" t="s">
        <v>120</v>
      </c>
      <c r="J22">
        <f>SUMIFS('Suivi Temps'!$D:$D,'Suivi Temps'!$A:$A,"P002-012")</f>
        <v>0</v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7"/>
        <v/>
      </c>
      <c r="AA22" t="str">
        <f t="shared" si="7"/>
        <v/>
      </c>
      <c r="AB22" t="str">
        <f t="shared" si="7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8"/>
        <v/>
      </c>
      <c r="AK22" t="str">
        <f t="shared" si="8"/>
        <v/>
      </c>
      <c r="AL22" t="str">
        <f t="shared" si="8"/>
        <v/>
      </c>
      <c r="AM22" t="str">
        <f t="shared" si="8"/>
        <v/>
      </c>
      <c r="AN22" t="str">
        <f t="shared" si="8"/>
        <v/>
      </c>
      <c r="AO22" t="str">
        <f t="shared" si="8"/>
        <v/>
      </c>
      <c r="AP22" t="str">
        <f t="shared" si="8"/>
        <v/>
      </c>
      <c r="AQ22" t="str">
        <f t="shared" si="8"/>
        <v/>
      </c>
      <c r="AR22" t="str">
        <f t="shared" si="8"/>
        <v/>
      </c>
      <c r="AS22" t="str">
        <f t="shared" si="8"/>
        <v/>
      </c>
      <c r="AT22" t="str">
        <f t="shared" si="9"/>
        <v/>
      </c>
      <c r="AU22" t="str">
        <f t="shared" si="9"/>
        <v/>
      </c>
      <c r="AV22" t="str">
        <f t="shared" si="9"/>
        <v/>
      </c>
      <c r="AW22" t="str">
        <f t="shared" si="9"/>
        <v/>
      </c>
      <c r="AX22" t="str">
        <f t="shared" si="9"/>
        <v/>
      </c>
      <c r="AY22" t="str">
        <f t="shared" si="9"/>
        <v/>
      </c>
      <c r="AZ22" t="str">
        <f t="shared" si="9"/>
        <v/>
      </c>
      <c r="BA22" t="str">
        <f t="shared" si="9"/>
        <v/>
      </c>
      <c r="BB22" t="str">
        <f t="shared" si="9"/>
        <v/>
      </c>
      <c r="BC22" t="str">
        <f t="shared" si="9"/>
        <v/>
      </c>
      <c r="BD22" t="str">
        <f t="shared" si="10"/>
        <v/>
      </c>
      <c r="BE22" t="str">
        <f t="shared" si="10"/>
        <v/>
      </c>
      <c r="BF22" t="str">
        <f t="shared" si="10"/>
        <v/>
      </c>
      <c r="BG22" t="str">
        <f t="shared" si="10"/>
        <v/>
      </c>
      <c r="BH22" t="str">
        <f t="shared" si="10"/>
        <v/>
      </c>
      <c r="BI22" t="str">
        <f t="shared" si="10"/>
        <v/>
      </c>
      <c r="BJ22" t="str">
        <f t="shared" si="10"/>
        <v/>
      </c>
      <c r="BK22" t="str">
        <f t="shared" si="10"/>
        <v/>
      </c>
      <c r="BL22" t="str">
        <f t="shared" si="10"/>
        <v/>
      </c>
      <c r="BM22" t="str">
        <f t="shared" si="10"/>
        <v/>
      </c>
      <c r="BN22" t="str">
        <f t="shared" si="11"/>
        <v/>
      </c>
      <c r="BO22" t="str">
        <f t="shared" si="11"/>
        <v/>
      </c>
      <c r="BP22" t="str">
        <f t="shared" si="11"/>
        <v/>
      </c>
      <c r="BQ22" t="str">
        <f t="shared" si="11"/>
        <v/>
      </c>
      <c r="BR22" t="str">
        <f t="shared" si="11"/>
        <v/>
      </c>
      <c r="BS22" t="str">
        <f t="shared" si="11"/>
        <v/>
      </c>
      <c r="BT22" t="str">
        <f t="shared" si="11"/>
        <v/>
      </c>
      <c r="BU22" t="str">
        <f t="shared" si="11"/>
        <v/>
      </c>
      <c r="BV22" t="str">
        <f t="shared" si="11"/>
        <v/>
      </c>
      <c r="BW22" t="str">
        <f t="shared" si="11"/>
        <v/>
      </c>
    </row>
    <row r="23" spans="1:75" x14ac:dyDescent="0.25">
      <c r="A23" t="s">
        <v>121</v>
      </c>
      <c r="J23">
        <f>SUMIFS('Suivi Temps'!$D:$D,'Suivi Temps'!$A:$A,"P002-013")</f>
        <v>0</v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7"/>
        <v/>
      </c>
      <c r="AA23" t="str">
        <f t="shared" si="7"/>
        <v/>
      </c>
      <c r="AB23" t="str">
        <f t="shared" si="7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8"/>
        <v/>
      </c>
      <c r="AK23" t="str">
        <f t="shared" si="8"/>
        <v/>
      </c>
      <c r="AL23" t="str">
        <f t="shared" si="8"/>
        <v/>
      </c>
      <c r="AM23" t="str">
        <f t="shared" si="8"/>
        <v/>
      </c>
      <c r="AN23" t="str">
        <f t="shared" si="8"/>
        <v/>
      </c>
      <c r="AO23" t="str">
        <f t="shared" si="8"/>
        <v/>
      </c>
      <c r="AP23" t="str">
        <f t="shared" si="8"/>
        <v/>
      </c>
      <c r="AQ23" t="str">
        <f t="shared" si="8"/>
        <v/>
      </c>
      <c r="AR23" t="str">
        <f t="shared" si="8"/>
        <v/>
      </c>
      <c r="AS23" t="str">
        <f t="shared" si="8"/>
        <v/>
      </c>
      <c r="AT23" t="str">
        <f t="shared" si="9"/>
        <v/>
      </c>
      <c r="AU23" t="str">
        <f t="shared" si="9"/>
        <v/>
      </c>
      <c r="AV23" t="str">
        <f t="shared" si="9"/>
        <v/>
      </c>
      <c r="AW23" t="str">
        <f t="shared" si="9"/>
        <v/>
      </c>
      <c r="AX23" t="str">
        <f t="shared" si="9"/>
        <v/>
      </c>
      <c r="AY23" t="str">
        <f t="shared" si="9"/>
        <v/>
      </c>
      <c r="AZ23" t="str">
        <f t="shared" si="9"/>
        <v/>
      </c>
      <c r="BA23" t="str">
        <f t="shared" si="9"/>
        <v/>
      </c>
      <c r="BB23" t="str">
        <f t="shared" si="9"/>
        <v/>
      </c>
      <c r="BC23" t="str">
        <f t="shared" si="9"/>
        <v/>
      </c>
      <c r="BD23" t="str">
        <f t="shared" si="10"/>
        <v/>
      </c>
      <c r="BE23" t="str">
        <f t="shared" si="10"/>
        <v/>
      </c>
      <c r="BF23" t="str">
        <f t="shared" si="10"/>
        <v/>
      </c>
      <c r="BG23" t="str">
        <f t="shared" si="10"/>
        <v/>
      </c>
      <c r="BH23" t="str">
        <f t="shared" si="10"/>
        <v/>
      </c>
      <c r="BI23" t="str">
        <f t="shared" si="10"/>
        <v/>
      </c>
      <c r="BJ23" t="str">
        <f t="shared" si="10"/>
        <v/>
      </c>
      <c r="BK23" t="str">
        <f t="shared" si="10"/>
        <v/>
      </c>
      <c r="BL23" t="str">
        <f t="shared" si="10"/>
        <v/>
      </c>
      <c r="BM23" t="str">
        <f t="shared" si="10"/>
        <v/>
      </c>
      <c r="BN23" t="str">
        <f t="shared" si="11"/>
        <v/>
      </c>
      <c r="BO23" t="str">
        <f t="shared" si="11"/>
        <v/>
      </c>
      <c r="BP23" t="str">
        <f t="shared" si="11"/>
        <v/>
      </c>
      <c r="BQ23" t="str">
        <f t="shared" si="11"/>
        <v/>
      </c>
      <c r="BR23" t="str">
        <f t="shared" si="11"/>
        <v/>
      </c>
      <c r="BS23" t="str">
        <f t="shared" si="11"/>
        <v/>
      </c>
      <c r="BT23" t="str">
        <f t="shared" si="11"/>
        <v/>
      </c>
      <c r="BU23" t="str">
        <f t="shared" si="11"/>
        <v/>
      </c>
      <c r="BV23" t="str">
        <f t="shared" si="11"/>
        <v/>
      </c>
      <c r="BW23" t="str">
        <f t="shared" si="11"/>
        <v/>
      </c>
    </row>
    <row r="24" spans="1:75" x14ac:dyDescent="0.25">
      <c r="A24" t="s">
        <v>122</v>
      </c>
      <c r="J24">
        <f>SUMIFS('Suivi Temps'!$D:$D,'Suivi Temps'!$A:$A,"P002-014")</f>
        <v>0</v>
      </c>
      <c r="P24" t="str">
        <f t="shared" si="6"/>
        <v/>
      </c>
      <c r="Q24" t="str">
        <f t="shared" si="6"/>
        <v/>
      </c>
      <c r="R24" t="str">
        <f t="shared" si="6"/>
        <v/>
      </c>
      <c r="S24" t="str">
        <f t="shared" si="6"/>
        <v/>
      </c>
      <c r="T24" t="str">
        <f t="shared" si="6"/>
        <v/>
      </c>
      <c r="U24" t="str">
        <f t="shared" si="6"/>
        <v/>
      </c>
      <c r="V24" t="str">
        <f t="shared" si="6"/>
        <v/>
      </c>
      <c r="W24" t="str">
        <f t="shared" si="6"/>
        <v/>
      </c>
      <c r="X24" t="str">
        <f t="shared" si="6"/>
        <v/>
      </c>
      <c r="Y24" t="str">
        <f t="shared" si="6"/>
        <v/>
      </c>
      <c r="Z24" t="str">
        <f t="shared" si="7"/>
        <v/>
      </c>
      <c r="AA24" t="str">
        <f t="shared" si="7"/>
        <v/>
      </c>
      <c r="AB24" t="str">
        <f t="shared" si="7"/>
        <v/>
      </c>
      <c r="AC24" t="str">
        <f t="shared" si="7"/>
        <v/>
      </c>
      <c r="AD24" t="str">
        <f t="shared" si="7"/>
        <v/>
      </c>
      <c r="AE24" t="str">
        <f t="shared" si="7"/>
        <v/>
      </c>
      <c r="AF24" t="str">
        <f t="shared" si="7"/>
        <v/>
      </c>
      <c r="AG24" t="str">
        <f t="shared" si="7"/>
        <v/>
      </c>
      <c r="AH24" t="str">
        <f t="shared" si="7"/>
        <v/>
      </c>
      <c r="AI24" t="str">
        <f t="shared" si="7"/>
        <v/>
      </c>
      <c r="AJ24" t="str">
        <f t="shared" si="8"/>
        <v/>
      </c>
      <c r="AK24" t="str">
        <f t="shared" si="8"/>
        <v/>
      </c>
      <c r="AL24" t="str">
        <f t="shared" si="8"/>
        <v/>
      </c>
      <c r="AM24" t="str">
        <f t="shared" si="8"/>
        <v/>
      </c>
      <c r="AN24" t="str">
        <f t="shared" si="8"/>
        <v/>
      </c>
      <c r="AO24" t="str">
        <f t="shared" si="8"/>
        <v/>
      </c>
      <c r="AP24" t="str">
        <f t="shared" si="8"/>
        <v/>
      </c>
      <c r="AQ24" t="str">
        <f t="shared" si="8"/>
        <v/>
      </c>
      <c r="AR24" t="str">
        <f t="shared" si="8"/>
        <v/>
      </c>
      <c r="AS24" t="str">
        <f t="shared" si="8"/>
        <v/>
      </c>
      <c r="AT24" t="str">
        <f t="shared" si="9"/>
        <v/>
      </c>
      <c r="AU24" t="str">
        <f t="shared" si="9"/>
        <v/>
      </c>
      <c r="AV24" t="str">
        <f t="shared" si="9"/>
        <v/>
      </c>
      <c r="AW24" t="str">
        <f t="shared" si="9"/>
        <v/>
      </c>
      <c r="AX24" t="str">
        <f t="shared" si="9"/>
        <v/>
      </c>
      <c r="AY24" t="str">
        <f t="shared" si="9"/>
        <v/>
      </c>
      <c r="AZ24" t="str">
        <f t="shared" si="9"/>
        <v/>
      </c>
      <c r="BA24" t="str">
        <f t="shared" si="9"/>
        <v/>
      </c>
      <c r="BB24" t="str">
        <f t="shared" si="9"/>
        <v/>
      </c>
      <c r="BC24" t="str">
        <f t="shared" si="9"/>
        <v/>
      </c>
      <c r="BD24" t="str">
        <f t="shared" si="10"/>
        <v/>
      </c>
      <c r="BE24" t="str">
        <f t="shared" si="10"/>
        <v/>
      </c>
      <c r="BF24" t="str">
        <f t="shared" si="10"/>
        <v/>
      </c>
      <c r="BG24" t="str">
        <f t="shared" si="10"/>
        <v/>
      </c>
      <c r="BH24" t="str">
        <f t="shared" si="10"/>
        <v/>
      </c>
      <c r="BI24" t="str">
        <f t="shared" si="10"/>
        <v/>
      </c>
      <c r="BJ24" t="str">
        <f t="shared" si="10"/>
        <v/>
      </c>
      <c r="BK24" t="str">
        <f t="shared" si="10"/>
        <v/>
      </c>
      <c r="BL24" t="str">
        <f t="shared" si="10"/>
        <v/>
      </c>
      <c r="BM24" t="str">
        <f t="shared" si="10"/>
        <v/>
      </c>
      <c r="BN24" t="str">
        <f t="shared" si="11"/>
        <v/>
      </c>
      <c r="BO24" t="str">
        <f t="shared" si="11"/>
        <v/>
      </c>
      <c r="BP24" t="str">
        <f t="shared" si="11"/>
        <v/>
      </c>
      <c r="BQ24" t="str">
        <f t="shared" si="11"/>
        <v/>
      </c>
      <c r="BR24" t="str">
        <f t="shared" si="11"/>
        <v/>
      </c>
      <c r="BS24" t="str">
        <f t="shared" si="11"/>
        <v/>
      </c>
      <c r="BT24" t="str">
        <f t="shared" si="11"/>
        <v/>
      </c>
      <c r="BU24" t="str">
        <f t="shared" si="11"/>
        <v/>
      </c>
      <c r="BV24" t="str">
        <f t="shared" si="11"/>
        <v/>
      </c>
      <c r="BW24" t="str">
        <f t="shared" si="11"/>
        <v/>
      </c>
    </row>
    <row r="25" spans="1:75" x14ac:dyDescent="0.25">
      <c r="A25" t="s">
        <v>123</v>
      </c>
      <c r="J25">
        <f>SUMIFS('Suivi Temps'!$D:$D,'Suivi Temps'!$A:$A,"P002-015")</f>
        <v>0</v>
      </c>
      <c r="P25" t="str">
        <f t="shared" si="6"/>
        <v/>
      </c>
      <c r="Q25" t="str">
        <f t="shared" si="6"/>
        <v/>
      </c>
      <c r="R25" t="str">
        <f t="shared" si="6"/>
        <v/>
      </c>
      <c r="S25" t="str">
        <f t="shared" si="6"/>
        <v/>
      </c>
      <c r="T25" t="str">
        <f t="shared" si="6"/>
        <v/>
      </c>
      <c r="U25" t="str">
        <f t="shared" si="6"/>
        <v/>
      </c>
      <c r="V25" t="str">
        <f t="shared" si="6"/>
        <v/>
      </c>
      <c r="W25" t="str">
        <f t="shared" si="6"/>
        <v/>
      </c>
      <c r="X25" t="str">
        <f t="shared" si="6"/>
        <v/>
      </c>
      <c r="Y25" t="str">
        <f t="shared" si="6"/>
        <v/>
      </c>
      <c r="Z25" t="str">
        <f t="shared" si="7"/>
        <v/>
      </c>
      <c r="AA25" t="str">
        <f t="shared" si="7"/>
        <v/>
      </c>
      <c r="AB25" t="str">
        <f t="shared" si="7"/>
        <v/>
      </c>
      <c r="AC25" t="str">
        <f t="shared" si="7"/>
        <v/>
      </c>
      <c r="AD25" t="str">
        <f t="shared" si="7"/>
        <v/>
      </c>
      <c r="AE25" t="str">
        <f t="shared" si="7"/>
        <v/>
      </c>
      <c r="AF25" t="str">
        <f t="shared" si="7"/>
        <v/>
      </c>
      <c r="AG25" t="str">
        <f t="shared" si="7"/>
        <v/>
      </c>
      <c r="AH25" t="str">
        <f t="shared" si="7"/>
        <v/>
      </c>
      <c r="AI25" t="str">
        <f t="shared" si="7"/>
        <v/>
      </c>
      <c r="AJ25" t="str">
        <f t="shared" si="8"/>
        <v/>
      </c>
      <c r="AK25" t="str">
        <f t="shared" si="8"/>
        <v/>
      </c>
      <c r="AL25" t="str">
        <f t="shared" si="8"/>
        <v/>
      </c>
      <c r="AM25" t="str">
        <f t="shared" si="8"/>
        <v/>
      </c>
      <c r="AN25" t="str">
        <f t="shared" si="8"/>
        <v/>
      </c>
      <c r="AO25" t="str">
        <f t="shared" si="8"/>
        <v/>
      </c>
      <c r="AP25" t="str">
        <f t="shared" si="8"/>
        <v/>
      </c>
      <c r="AQ25" t="str">
        <f t="shared" si="8"/>
        <v/>
      </c>
      <c r="AR25" t="str">
        <f t="shared" si="8"/>
        <v/>
      </c>
      <c r="AS25" t="str">
        <f t="shared" si="8"/>
        <v/>
      </c>
      <c r="AT25" t="str">
        <f t="shared" si="9"/>
        <v/>
      </c>
      <c r="AU25" t="str">
        <f t="shared" si="9"/>
        <v/>
      </c>
      <c r="AV25" t="str">
        <f t="shared" si="9"/>
        <v/>
      </c>
      <c r="AW25" t="str">
        <f t="shared" si="9"/>
        <v/>
      </c>
      <c r="AX25" t="str">
        <f t="shared" si="9"/>
        <v/>
      </c>
      <c r="AY25" t="str">
        <f t="shared" si="9"/>
        <v/>
      </c>
      <c r="AZ25" t="str">
        <f t="shared" si="9"/>
        <v/>
      </c>
      <c r="BA25" t="str">
        <f t="shared" si="9"/>
        <v/>
      </c>
      <c r="BB25" t="str">
        <f t="shared" si="9"/>
        <v/>
      </c>
      <c r="BC25" t="str">
        <f t="shared" si="9"/>
        <v/>
      </c>
      <c r="BD25" t="str">
        <f t="shared" si="10"/>
        <v/>
      </c>
      <c r="BE25" t="str">
        <f t="shared" si="10"/>
        <v/>
      </c>
      <c r="BF25" t="str">
        <f t="shared" si="10"/>
        <v/>
      </c>
      <c r="BG25" t="str">
        <f t="shared" si="10"/>
        <v/>
      </c>
      <c r="BH25" t="str">
        <f t="shared" si="10"/>
        <v/>
      </c>
      <c r="BI25" t="str">
        <f t="shared" si="10"/>
        <v/>
      </c>
      <c r="BJ25" t="str">
        <f t="shared" si="10"/>
        <v/>
      </c>
      <c r="BK25" t="str">
        <f t="shared" si="10"/>
        <v/>
      </c>
      <c r="BL25" t="str">
        <f t="shared" si="10"/>
        <v/>
      </c>
      <c r="BM25" t="str">
        <f t="shared" si="10"/>
        <v/>
      </c>
      <c r="BN25" t="str">
        <f t="shared" si="11"/>
        <v/>
      </c>
      <c r="BO25" t="str">
        <f t="shared" si="11"/>
        <v/>
      </c>
      <c r="BP25" t="str">
        <f t="shared" si="11"/>
        <v/>
      </c>
      <c r="BQ25" t="str">
        <f t="shared" si="11"/>
        <v/>
      </c>
      <c r="BR25" t="str">
        <f t="shared" si="11"/>
        <v/>
      </c>
      <c r="BS25" t="str">
        <f t="shared" si="11"/>
        <v/>
      </c>
      <c r="BT25" t="str">
        <f t="shared" si="11"/>
        <v/>
      </c>
      <c r="BU25" t="str">
        <f t="shared" si="11"/>
        <v/>
      </c>
      <c r="BV25" t="str">
        <f t="shared" si="11"/>
        <v/>
      </c>
      <c r="BW25" t="str">
        <f t="shared" si="11"/>
        <v/>
      </c>
    </row>
    <row r="26" spans="1:75" x14ac:dyDescent="0.25">
      <c r="A26" t="s">
        <v>124</v>
      </c>
      <c r="J26">
        <f>SUMIFS('Suivi Temps'!$D:$D,'Suivi Temps'!$A:$A,"P002-016")</f>
        <v>0</v>
      </c>
      <c r="P26" t="str">
        <f t="shared" si="6"/>
        <v/>
      </c>
      <c r="Q26" t="str">
        <f t="shared" si="6"/>
        <v/>
      </c>
      <c r="R26" t="str">
        <f t="shared" si="6"/>
        <v/>
      </c>
      <c r="S26" t="str">
        <f t="shared" si="6"/>
        <v/>
      </c>
      <c r="T26" t="str">
        <f t="shared" si="6"/>
        <v/>
      </c>
      <c r="U26" t="str">
        <f t="shared" si="6"/>
        <v/>
      </c>
      <c r="V26" t="str">
        <f t="shared" si="6"/>
        <v/>
      </c>
      <c r="W26" t="str">
        <f t="shared" si="6"/>
        <v/>
      </c>
      <c r="X26" t="str">
        <f t="shared" si="6"/>
        <v/>
      </c>
      <c r="Y26" t="str">
        <f t="shared" si="6"/>
        <v/>
      </c>
      <c r="Z26" t="str">
        <f t="shared" si="7"/>
        <v/>
      </c>
      <c r="AA26" t="str">
        <f t="shared" si="7"/>
        <v/>
      </c>
      <c r="AB26" t="str">
        <f t="shared" si="7"/>
        <v/>
      </c>
      <c r="AC26" t="str">
        <f t="shared" si="7"/>
        <v/>
      </c>
      <c r="AD26" t="str">
        <f t="shared" si="7"/>
        <v/>
      </c>
      <c r="AE26" t="str">
        <f t="shared" si="7"/>
        <v/>
      </c>
      <c r="AF26" t="str">
        <f t="shared" si="7"/>
        <v/>
      </c>
      <c r="AG26" t="str">
        <f t="shared" si="7"/>
        <v/>
      </c>
      <c r="AH26" t="str">
        <f t="shared" si="7"/>
        <v/>
      </c>
      <c r="AI26" t="str">
        <f t="shared" si="7"/>
        <v/>
      </c>
      <c r="AJ26" t="str">
        <f t="shared" si="8"/>
        <v/>
      </c>
      <c r="AK26" t="str">
        <f t="shared" si="8"/>
        <v/>
      </c>
      <c r="AL26" t="str">
        <f t="shared" si="8"/>
        <v/>
      </c>
      <c r="AM26" t="str">
        <f t="shared" si="8"/>
        <v/>
      </c>
      <c r="AN26" t="str">
        <f t="shared" si="8"/>
        <v/>
      </c>
      <c r="AO26" t="str">
        <f t="shared" si="8"/>
        <v/>
      </c>
      <c r="AP26" t="str">
        <f t="shared" si="8"/>
        <v/>
      </c>
      <c r="AQ26" t="str">
        <f t="shared" si="8"/>
        <v/>
      </c>
      <c r="AR26" t="str">
        <f t="shared" si="8"/>
        <v/>
      </c>
      <c r="AS26" t="str">
        <f t="shared" si="8"/>
        <v/>
      </c>
      <c r="AT26" t="str">
        <f t="shared" si="9"/>
        <v/>
      </c>
      <c r="AU26" t="str">
        <f t="shared" si="9"/>
        <v/>
      </c>
      <c r="AV26" t="str">
        <f t="shared" si="9"/>
        <v/>
      </c>
      <c r="AW26" t="str">
        <f t="shared" si="9"/>
        <v/>
      </c>
      <c r="AX26" t="str">
        <f t="shared" si="9"/>
        <v/>
      </c>
      <c r="AY26" t="str">
        <f t="shared" si="9"/>
        <v/>
      </c>
      <c r="AZ26" t="str">
        <f t="shared" si="9"/>
        <v/>
      </c>
      <c r="BA26" t="str">
        <f t="shared" si="9"/>
        <v/>
      </c>
      <c r="BB26" t="str">
        <f t="shared" si="9"/>
        <v/>
      </c>
      <c r="BC26" t="str">
        <f t="shared" si="9"/>
        <v/>
      </c>
      <c r="BD26" t="str">
        <f t="shared" si="10"/>
        <v/>
      </c>
      <c r="BE26" t="str">
        <f t="shared" si="10"/>
        <v/>
      </c>
      <c r="BF26" t="str">
        <f t="shared" si="10"/>
        <v/>
      </c>
      <c r="BG26" t="str">
        <f t="shared" si="10"/>
        <v/>
      </c>
      <c r="BH26" t="str">
        <f t="shared" si="10"/>
        <v/>
      </c>
      <c r="BI26" t="str">
        <f t="shared" si="10"/>
        <v/>
      </c>
      <c r="BJ26" t="str">
        <f t="shared" si="10"/>
        <v/>
      </c>
      <c r="BK26" t="str">
        <f t="shared" si="10"/>
        <v/>
      </c>
      <c r="BL26" t="str">
        <f t="shared" si="10"/>
        <v/>
      </c>
      <c r="BM26" t="str">
        <f t="shared" si="10"/>
        <v/>
      </c>
      <c r="BN26" t="str">
        <f t="shared" si="11"/>
        <v/>
      </c>
      <c r="BO26" t="str">
        <f t="shared" si="11"/>
        <v/>
      </c>
      <c r="BP26" t="str">
        <f t="shared" si="11"/>
        <v/>
      </c>
      <c r="BQ26" t="str">
        <f t="shared" si="11"/>
        <v/>
      </c>
      <c r="BR26" t="str">
        <f t="shared" si="11"/>
        <v/>
      </c>
      <c r="BS26" t="str">
        <f t="shared" si="11"/>
        <v/>
      </c>
      <c r="BT26" t="str">
        <f t="shared" si="11"/>
        <v/>
      </c>
      <c r="BU26" t="str">
        <f t="shared" si="11"/>
        <v/>
      </c>
      <c r="BV26" t="str">
        <f t="shared" si="11"/>
        <v/>
      </c>
      <c r="BW26" t="str">
        <f t="shared" si="11"/>
        <v/>
      </c>
    </row>
    <row r="27" spans="1:75" x14ac:dyDescent="0.25">
      <c r="A27" t="s">
        <v>125</v>
      </c>
      <c r="J27">
        <f>SUMIFS('Suivi Temps'!$D:$D,'Suivi Temps'!$A:$A,"P002-017")</f>
        <v>0</v>
      </c>
      <c r="P27" t="str">
        <f t="shared" si="6"/>
        <v/>
      </c>
      <c r="Q27" t="str">
        <f t="shared" si="6"/>
        <v/>
      </c>
      <c r="R27" t="str">
        <f t="shared" si="6"/>
        <v/>
      </c>
      <c r="S27" t="str">
        <f t="shared" si="6"/>
        <v/>
      </c>
      <c r="T27" t="str">
        <f t="shared" si="6"/>
        <v/>
      </c>
      <c r="U27" t="str">
        <f t="shared" si="6"/>
        <v/>
      </c>
      <c r="V27" t="str">
        <f t="shared" si="6"/>
        <v/>
      </c>
      <c r="W27" t="str">
        <f t="shared" si="6"/>
        <v/>
      </c>
      <c r="X27" t="str">
        <f t="shared" si="6"/>
        <v/>
      </c>
      <c r="Y27" t="str">
        <f t="shared" si="6"/>
        <v/>
      </c>
      <c r="Z27" t="str">
        <f t="shared" si="7"/>
        <v/>
      </c>
      <c r="AA27" t="str">
        <f t="shared" si="7"/>
        <v/>
      </c>
      <c r="AB27" t="str">
        <f t="shared" si="7"/>
        <v/>
      </c>
      <c r="AC27" t="str">
        <f t="shared" si="7"/>
        <v/>
      </c>
      <c r="AD27" t="str">
        <f t="shared" si="7"/>
        <v/>
      </c>
      <c r="AE27" t="str">
        <f t="shared" si="7"/>
        <v/>
      </c>
      <c r="AF27" t="str">
        <f t="shared" si="7"/>
        <v/>
      </c>
      <c r="AG27" t="str">
        <f t="shared" si="7"/>
        <v/>
      </c>
      <c r="AH27" t="str">
        <f t="shared" si="7"/>
        <v/>
      </c>
      <c r="AI27" t="str">
        <f t="shared" si="7"/>
        <v/>
      </c>
      <c r="AJ27" t="str">
        <f t="shared" si="8"/>
        <v/>
      </c>
      <c r="AK27" t="str">
        <f t="shared" si="8"/>
        <v/>
      </c>
      <c r="AL27" t="str">
        <f t="shared" si="8"/>
        <v/>
      </c>
      <c r="AM27" t="str">
        <f t="shared" si="8"/>
        <v/>
      </c>
      <c r="AN27" t="str">
        <f t="shared" si="8"/>
        <v/>
      </c>
      <c r="AO27" t="str">
        <f t="shared" si="8"/>
        <v/>
      </c>
      <c r="AP27" t="str">
        <f t="shared" si="8"/>
        <v/>
      </c>
      <c r="AQ27" t="str">
        <f t="shared" si="8"/>
        <v/>
      </c>
      <c r="AR27" t="str">
        <f t="shared" si="8"/>
        <v/>
      </c>
      <c r="AS27" t="str">
        <f t="shared" si="8"/>
        <v/>
      </c>
      <c r="AT27" t="str">
        <f t="shared" si="9"/>
        <v/>
      </c>
      <c r="AU27" t="str">
        <f t="shared" si="9"/>
        <v/>
      </c>
      <c r="AV27" t="str">
        <f t="shared" si="9"/>
        <v/>
      </c>
      <c r="AW27" t="str">
        <f t="shared" si="9"/>
        <v/>
      </c>
      <c r="AX27" t="str">
        <f t="shared" si="9"/>
        <v/>
      </c>
      <c r="AY27" t="str">
        <f t="shared" si="9"/>
        <v/>
      </c>
      <c r="AZ27" t="str">
        <f t="shared" si="9"/>
        <v/>
      </c>
      <c r="BA27" t="str">
        <f t="shared" si="9"/>
        <v/>
      </c>
      <c r="BB27" t="str">
        <f t="shared" si="9"/>
        <v/>
      </c>
      <c r="BC27" t="str">
        <f t="shared" si="9"/>
        <v/>
      </c>
      <c r="BD27" t="str">
        <f t="shared" si="10"/>
        <v/>
      </c>
      <c r="BE27" t="str">
        <f t="shared" si="10"/>
        <v/>
      </c>
      <c r="BF27" t="str">
        <f t="shared" si="10"/>
        <v/>
      </c>
      <c r="BG27" t="str">
        <f t="shared" si="10"/>
        <v/>
      </c>
      <c r="BH27" t="str">
        <f t="shared" si="10"/>
        <v/>
      </c>
      <c r="BI27" t="str">
        <f t="shared" si="10"/>
        <v/>
      </c>
      <c r="BJ27" t="str">
        <f t="shared" si="10"/>
        <v/>
      </c>
      <c r="BK27" t="str">
        <f t="shared" si="10"/>
        <v/>
      </c>
      <c r="BL27" t="str">
        <f t="shared" si="10"/>
        <v/>
      </c>
      <c r="BM27" t="str">
        <f t="shared" si="10"/>
        <v/>
      </c>
      <c r="BN27" t="str">
        <f t="shared" si="11"/>
        <v/>
      </c>
      <c r="BO27" t="str">
        <f t="shared" si="11"/>
        <v/>
      </c>
      <c r="BP27" t="str">
        <f t="shared" si="11"/>
        <v/>
      </c>
      <c r="BQ27" t="str">
        <f t="shared" si="11"/>
        <v/>
      </c>
      <c r="BR27" t="str">
        <f t="shared" si="11"/>
        <v/>
      </c>
      <c r="BS27" t="str">
        <f t="shared" si="11"/>
        <v/>
      </c>
      <c r="BT27" t="str">
        <f t="shared" si="11"/>
        <v/>
      </c>
      <c r="BU27" t="str">
        <f t="shared" si="11"/>
        <v/>
      </c>
      <c r="BV27" t="str">
        <f t="shared" si="11"/>
        <v/>
      </c>
      <c r="BW27" t="str">
        <f t="shared" si="11"/>
        <v/>
      </c>
    </row>
    <row r="28" spans="1:75" x14ac:dyDescent="0.25">
      <c r="A28" t="s">
        <v>126</v>
      </c>
      <c r="J28">
        <f>SUMIFS('Suivi Temps'!$D:$D,'Suivi Temps'!$A:$A,"P002-018")</f>
        <v>0</v>
      </c>
      <c r="P28" t="str">
        <f t="shared" si="6"/>
        <v/>
      </c>
      <c r="Q28" t="str">
        <f t="shared" si="6"/>
        <v/>
      </c>
      <c r="R28" t="str">
        <f t="shared" si="6"/>
        <v/>
      </c>
      <c r="S28" t="str">
        <f t="shared" si="6"/>
        <v/>
      </c>
      <c r="T28" t="str">
        <f t="shared" si="6"/>
        <v/>
      </c>
      <c r="U28" t="str">
        <f t="shared" si="6"/>
        <v/>
      </c>
      <c r="V28" t="str">
        <f t="shared" si="6"/>
        <v/>
      </c>
      <c r="W28" t="str">
        <f t="shared" si="6"/>
        <v/>
      </c>
      <c r="X28" t="str">
        <f t="shared" si="6"/>
        <v/>
      </c>
      <c r="Y28" t="str">
        <f t="shared" si="6"/>
        <v/>
      </c>
      <c r="Z28" t="str">
        <f t="shared" si="7"/>
        <v/>
      </c>
      <c r="AA28" t="str">
        <f t="shared" si="7"/>
        <v/>
      </c>
      <c r="AB28" t="str">
        <f t="shared" si="7"/>
        <v/>
      </c>
      <c r="AC28" t="str">
        <f t="shared" si="7"/>
        <v/>
      </c>
      <c r="AD28" t="str">
        <f t="shared" si="7"/>
        <v/>
      </c>
      <c r="AE28" t="str">
        <f t="shared" si="7"/>
        <v/>
      </c>
      <c r="AF28" t="str">
        <f t="shared" si="7"/>
        <v/>
      </c>
      <c r="AG28" t="str">
        <f t="shared" si="7"/>
        <v/>
      </c>
      <c r="AH28" t="str">
        <f t="shared" si="7"/>
        <v/>
      </c>
      <c r="AI28" t="str">
        <f t="shared" si="7"/>
        <v/>
      </c>
      <c r="AJ28" t="str">
        <f t="shared" si="8"/>
        <v/>
      </c>
      <c r="AK28" t="str">
        <f t="shared" si="8"/>
        <v/>
      </c>
      <c r="AL28" t="str">
        <f t="shared" si="8"/>
        <v/>
      </c>
      <c r="AM28" t="str">
        <f t="shared" si="8"/>
        <v/>
      </c>
      <c r="AN28" t="str">
        <f t="shared" si="8"/>
        <v/>
      </c>
      <c r="AO28" t="str">
        <f t="shared" si="8"/>
        <v/>
      </c>
      <c r="AP28" t="str">
        <f t="shared" si="8"/>
        <v/>
      </c>
      <c r="AQ28" t="str">
        <f t="shared" si="8"/>
        <v/>
      </c>
      <c r="AR28" t="str">
        <f t="shared" si="8"/>
        <v/>
      </c>
      <c r="AS28" t="str">
        <f t="shared" si="8"/>
        <v/>
      </c>
      <c r="AT28" t="str">
        <f t="shared" si="9"/>
        <v/>
      </c>
      <c r="AU28" t="str">
        <f t="shared" si="9"/>
        <v/>
      </c>
      <c r="AV28" t="str">
        <f t="shared" si="9"/>
        <v/>
      </c>
      <c r="AW28" t="str">
        <f t="shared" si="9"/>
        <v/>
      </c>
      <c r="AX28" t="str">
        <f t="shared" si="9"/>
        <v/>
      </c>
      <c r="AY28" t="str">
        <f t="shared" si="9"/>
        <v/>
      </c>
      <c r="AZ28" t="str">
        <f t="shared" si="9"/>
        <v/>
      </c>
      <c r="BA28" t="str">
        <f t="shared" si="9"/>
        <v/>
      </c>
      <c r="BB28" t="str">
        <f t="shared" si="9"/>
        <v/>
      </c>
      <c r="BC28" t="str">
        <f t="shared" si="9"/>
        <v/>
      </c>
      <c r="BD28" t="str">
        <f t="shared" si="10"/>
        <v/>
      </c>
      <c r="BE28" t="str">
        <f t="shared" si="10"/>
        <v/>
      </c>
      <c r="BF28" t="str">
        <f t="shared" si="10"/>
        <v/>
      </c>
      <c r="BG28" t="str">
        <f t="shared" si="10"/>
        <v/>
      </c>
      <c r="BH28" t="str">
        <f t="shared" si="10"/>
        <v/>
      </c>
      <c r="BI28" t="str">
        <f t="shared" si="10"/>
        <v/>
      </c>
      <c r="BJ28" t="str">
        <f t="shared" si="10"/>
        <v/>
      </c>
      <c r="BK28" t="str">
        <f t="shared" si="10"/>
        <v/>
      </c>
      <c r="BL28" t="str">
        <f t="shared" si="10"/>
        <v/>
      </c>
      <c r="BM28" t="str">
        <f t="shared" si="10"/>
        <v/>
      </c>
      <c r="BN28" t="str">
        <f t="shared" si="11"/>
        <v/>
      </c>
      <c r="BO28" t="str">
        <f t="shared" si="11"/>
        <v/>
      </c>
      <c r="BP28" t="str">
        <f t="shared" si="11"/>
        <v/>
      </c>
      <c r="BQ28" t="str">
        <f t="shared" si="11"/>
        <v/>
      </c>
      <c r="BR28" t="str">
        <f t="shared" si="11"/>
        <v/>
      </c>
      <c r="BS28" t="str">
        <f t="shared" si="11"/>
        <v/>
      </c>
      <c r="BT28" t="str">
        <f t="shared" si="11"/>
        <v/>
      </c>
      <c r="BU28" t="str">
        <f t="shared" si="11"/>
        <v/>
      </c>
      <c r="BV28" t="str">
        <f t="shared" si="11"/>
        <v/>
      </c>
      <c r="BW28" t="str">
        <f t="shared" si="11"/>
        <v/>
      </c>
    </row>
    <row r="29" spans="1:75" x14ac:dyDescent="0.25">
      <c r="A29" t="s">
        <v>127</v>
      </c>
      <c r="J29">
        <f>SUMIFS('Suivi Temps'!$D:$D,'Suivi Temps'!$A:$A,"P002-019")</f>
        <v>0</v>
      </c>
      <c r="P29" t="str">
        <f t="shared" si="6"/>
        <v/>
      </c>
      <c r="Q29" t="str">
        <f t="shared" si="6"/>
        <v/>
      </c>
      <c r="R29" t="str">
        <f t="shared" si="6"/>
        <v/>
      </c>
      <c r="S29" t="str">
        <f t="shared" si="6"/>
        <v/>
      </c>
      <c r="T29" t="str">
        <f t="shared" si="6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7"/>
        <v/>
      </c>
      <c r="AA29" t="str">
        <f t="shared" si="7"/>
        <v/>
      </c>
      <c r="AB29" t="str">
        <f t="shared" si="7"/>
        <v/>
      </c>
      <c r="AC29" t="str">
        <f t="shared" si="7"/>
        <v/>
      </c>
      <c r="AD29" t="str">
        <f t="shared" si="7"/>
        <v/>
      </c>
      <c r="AE29" t="str">
        <f t="shared" si="7"/>
        <v/>
      </c>
      <c r="AF29" t="str">
        <f t="shared" si="7"/>
        <v/>
      </c>
      <c r="AG29" t="str">
        <f t="shared" si="7"/>
        <v/>
      </c>
      <c r="AH29" t="str">
        <f t="shared" si="7"/>
        <v/>
      </c>
      <c r="AI29" t="str">
        <f t="shared" si="7"/>
        <v/>
      </c>
      <c r="AJ29" t="str">
        <f t="shared" si="8"/>
        <v/>
      </c>
      <c r="AK29" t="str">
        <f t="shared" si="8"/>
        <v/>
      </c>
      <c r="AL29" t="str">
        <f t="shared" si="8"/>
        <v/>
      </c>
      <c r="AM29" t="str">
        <f t="shared" si="8"/>
        <v/>
      </c>
      <c r="AN29" t="str">
        <f t="shared" si="8"/>
        <v/>
      </c>
      <c r="AO29" t="str">
        <f t="shared" si="8"/>
        <v/>
      </c>
      <c r="AP29" t="str">
        <f t="shared" si="8"/>
        <v/>
      </c>
      <c r="AQ29" t="str">
        <f t="shared" si="8"/>
        <v/>
      </c>
      <c r="AR29" t="str">
        <f t="shared" si="8"/>
        <v/>
      </c>
      <c r="AS29" t="str">
        <f t="shared" si="8"/>
        <v/>
      </c>
      <c r="AT29" t="str">
        <f t="shared" si="9"/>
        <v/>
      </c>
      <c r="AU29" t="str">
        <f t="shared" si="9"/>
        <v/>
      </c>
      <c r="AV29" t="str">
        <f t="shared" si="9"/>
        <v/>
      </c>
      <c r="AW29" t="str">
        <f t="shared" si="9"/>
        <v/>
      </c>
      <c r="AX29" t="str">
        <f t="shared" si="9"/>
        <v/>
      </c>
      <c r="AY29" t="str">
        <f t="shared" si="9"/>
        <v/>
      </c>
      <c r="AZ29" t="str">
        <f t="shared" si="9"/>
        <v/>
      </c>
      <c r="BA29" t="str">
        <f t="shared" si="9"/>
        <v/>
      </c>
      <c r="BB29" t="str">
        <f t="shared" si="9"/>
        <v/>
      </c>
      <c r="BC29" t="str">
        <f t="shared" si="9"/>
        <v/>
      </c>
      <c r="BD29" t="str">
        <f t="shared" si="10"/>
        <v/>
      </c>
      <c r="BE29" t="str">
        <f t="shared" si="10"/>
        <v/>
      </c>
      <c r="BF29" t="str">
        <f t="shared" si="10"/>
        <v/>
      </c>
      <c r="BG29" t="str">
        <f t="shared" si="10"/>
        <v/>
      </c>
      <c r="BH29" t="str">
        <f t="shared" si="10"/>
        <v/>
      </c>
      <c r="BI29" t="str">
        <f t="shared" si="10"/>
        <v/>
      </c>
      <c r="BJ29" t="str">
        <f t="shared" si="10"/>
        <v/>
      </c>
      <c r="BK29" t="str">
        <f t="shared" si="10"/>
        <v/>
      </c>
      <c r="BL29" t="str">
        <f t="shared" si="10"/>
        <v/>
      </c>
      <c r="BM29" t="str">
        <f t="shared" si="10"/>
        <v/>
      </c>
      <c r="BN29" t="str">
        <f t="shared" si="11"/>
        <v/>
      </c>
      <c r="BO29" t="str">
        <f t="shared" si="11"/>
        <v/>
      </c>
      <c r="BP29" t="str">
        <f t="shared" si="11"/>
        <v/>
      </c>
      <c r="BQ29" t="str">
        <f t="shared" si="11"/>
        <v/>
      </c>
      <c r="BR29" t="str">
        <f t="shared" si="11"/>
        <v/>
      </c>
      <c r="BS29" t="str">
        <f t="shared" si="11"/>
        <v/>
      </c>
      <c r="BT29" t="str">
        <f t="shared" si="11"/>
        <v/>
      </c>
      <c r="BU29" t="str">
        <f t="shared" si="11"/>
        <v/>
      </c>
      <c r="BV29" t="str">
        <f t="shared" si="11"/>
        <v/>
      </c>
      <c r="BW29" t="str">
        <f t="shared" si="11"/>
        <v/>
      </c>
    </row>
    <row r="30" spans="1:75" x14ac:dyDescent="0.25">
      <c r="A30" t="s">
        <v>128</v>
      </c>
      <c r="J30">
        <f>SUMIFS('Suivi Temps'!$D:$D,'Suivi Temps'!$A:$A,"P002-020")</f>
        <v>0</v>
      </c>
      <c r="P30" t="str">
        <f t="shared" si="6"/>
        <v/>
      </c>
      <c r="Q30" t="str">
        <f t="shared" si="6"/>
        <v/>
      </c>
      <c r="R30" t="str">
        <f t="shared" si="6"/>
        <v/>
      </c>
      <c r="S30" t="str">
        <f t="shared" si="6"/>
        <v/>
      </c>
      <c r="T30" t="str">
        <f t="shared" si="6"/>
        <v/>
      </c>
      <c r="U30" t="str">
        <f t="shared" si="6"/>
        <v/>
      </c>
      <c r="V30" t="str">
        <f t="shared" si="6"/>
        <v/>
      </c>
      <c r="W30" t="str">
        <f t="shared" si="6"/>
        <v/>
      </c>
      <c r="X30" t="str">
        <f t="shared" si="6"/>
        <v/>
      </c>
      <c r="Y30" t="str">
        <f t="shared" si="6"/>
        <v/>
      </c>
      <c r="Z30" t="str">
        <f t="shared" si="7"/>
        <v/>
      </c>
      <c r="AA30" t="str">
        <f t="shared" si="7"/>
        <v/>
      </c>
      <c r="AB30" t="str">
        <f t="shared" si="7"/>
        <v/>
      </c>
      <c r="AC30" t="str">
        <f t="shared" si="7"/>
        <v/>
      </c>
      <c r="AD30" t="str">
        <f t="shared" si="7"/>
        <v/>
      </c>
      <c r="AE30" t="str">
        <f t="shared" si="7"/>
        <v/>
      </c>
      <c r="AF30" t="str">
        <f t="shared" si="7"/>
        <v/>
      </c>
      <c r="AG30" t="str">
        <f t="shared" si="7"/>
        <v/>
      </c>
      <c r="AH30" t="str">
        <f t="shared" si="7"/>
        <v/>
      </c>
      <c r="AI30" t="str">
        <f t="shared" si="7"/>
        <v/>
      </c>
      <c r="AJ30" t="str">
        <f t="shared" si="8"/>
        <v/>
      </c>
      <c r="AK30" t="str">
        <f t="shared" si="8"/>
        <v/>
      </c>
      <c r="AL30" t="str">
        <f t="shared" si="8"/>
        <v/>
      </c>
      <c r="AM30" t="str">
        <f t="shared" si="8"/>
        <v/>
      </c>
      <c r="AN30" t="str">
        <f t="shared" si="8"/>
        <v/>
      </c>
      <c r="AO30" t="str">
        <f t="shared" si="8"/>
        <v/>
      </c>
      <c r="AP30" t="str">
        <f t="shared" si="8"/>
        <v/>
      </c>
      <c r="AQ30" t="str">
        <f t="shared" si="8"/>
        <v/>
      </c>
      <c r="AR30" t="str">
        <f t="shared" si="8"/>
        <v/>
      </c>
      <c r="AS30" t="str">
        <f t="shared" si="8"/>
        <v/>
      </c>
      <c r="AT30" t="str">
        <f t="shared" si="9"/>
        <v/>
      </c>
      <c r="AU30" t="str">
        <f t="shared" si="9"/>
        <v/>
      </c>
      <c r="AV30" t="str">
        <f t="shared" si="9"/>
        <v/>
      </c>
      <c r="AW30" t="str">
        <f t="shared" si="9"/>
        <v/>
      </c>
      <c r="AX30" t="str">
        <f t="shared" si="9"/>
        <v/>
      </c>
      <c r="AY30" t="str">
        <f t="shared" si="9"/>
        <v/>
      </c>
      <c r="AZ30" t="str">
        <f t="shared" si="9"/>
        <v/>
      </c>
      <c r="BA30" t="str">
        <f t="shared" si="9"/>
        <v/>
      </c>
      <c r="BB30" t="str">
        <f t="shared" si="9"/>
        <v/>
      </c>
      <c r="BC30" t="str">
        <f t="shared" si="9"/>
        <v/>
      </c>
      <c r="BD30" t="str">
        <f t="shared" si="10"/>
        <v/>
      </c>
      <c r="BE30" t="str">
        <f t="shared" si="10"/>
        <v/>
      </c>
      <c r="BF30" t="str">
        <f t="shared" si="10"/>
        <v/>
      </c>
      <c r="BG30" t="str">
        <f t="shared" si="10"/>
        <v/>
      </c>
      <c r="BH30" t="str">
        <f t="shared" si="10"/>
        <v/>
      </c>
      <c r="BI30" t="str">
        <f t="shared" si="10"/>
        <v/>
      </c>
      <c r="BJ30" t="str">
        <f t="shared" si="10"/>
        <v/>
      </c>
      <c r="BK30" t="str">
        <f t="shared" si="10"/>
        <v/>
      </c>
      <c r="BL30" t="str">
        <f t="shared" si="10"/>
        <v/>
      </c>
      <c r="BM30" t="str">
        <f t="shared" si="10"/>
        <v/>
      </c>
      <c r="BN30" t="str">
        <f t="shared" si="11"/>
        <v/>
      </c>
      <c r="BO30" t="str">
        <f t="shared" si="11"/>
        <v/>
      </c>
      <c r="BP30" t="str">
        <f t="shared" si="11"/>
        <v/>
      </c>
      <c r="BQ30" t="str">
        <f t="shared" si="11"/>
        <v/>
      </c>
      <c r="BR30" t="str">
        <f t="shared" si="11"/>
        <v/>
      </c>
      <c r="BS30" t="str">
        <f t="shared" si="11"/>
        <v/>
      </c>
      <c r="BT30" t="str">
        <f t="shared" si="11"/>
        <v/>
      </c>
      <c r="BU30" t="str">
        <f t="shared" si="11"/>
        <v/>
      </c>
      <c r="BV30" t="str">
        <f t="shared" si="11"/>
        <v/>
      </c>
      <c r="BW30" t="str">
        <f t="shared" si="11"/>
        <v/>
      </c>
    </row>
    <row r="31" spans="1:75" x14ac:dyDescent="0.25">
      <c r="A31" t="s">
        <v>129</v>
      </c>
      <c r="J31">
        <f>SUMIFS('Suivi Temps'!$D:$D,'Suivi Temps'!$A:$A,"P002-021")</f>
        <v>0</v>
      </c>
      <c r="P31" t="str">
        <f t="shared" ref="P31:Y40" si="12">IF(AND($E31&lt;&gt;"",$F31&lt;&gt;"",P$9&gt;=$E31,P$9&lt;=$F31),"■","")</f>
        <v/>
      </c>
      <c r="Q31" t="str">
        <f t="shared" si="12"/>
        <v/>
      </c>
      <c r="R31" t="str">
        <f t="shared" si="12"/>
        <v/>
      </c>
      <c r="S31" t="str">
        <f t="shared" si="12"/>
        <v/>
      </c>
      <c r="T31" t="str">
        <f t="shared" si="12"/>
        <v/>
      </c>
      <c r="U31" t="str">
        <f t="shared" si="12"/>
        <v/>
      </c>
      <c r="V31" t="str">
        <f t="shared" si="12"/>
        <v/>
      </c>
      <c r="W31" t="str">
        <f t="shared" si="12"/>
        <v/>
      </c>
      <c r="X31" t="str">
        <f t="shared" si="12"/>
        <v/>
      </c>
      <c r="Y31" t="str">
        <f t="shared" si="12"/>
        <v/>
      </c>
      <c r="Z31" t="str">
        <f t="shared" ref="Z31:AI40" si="13">IF(AND($E31&lt;&gt;"",$F31&lt;&gt;"",Z$9&gt;=$E31,Z$9&lt;=$F31),"■","")</f>
        <v/>
      </c>
      <c r="AA31" t="str">
        <f t="shared" si="13"/>
        <v/>
      </c>
      <c r="AB31" t="str">
        <f t="shared" si="13"/>
        <v/>
      </c>
      <c r="AC31" t="str">
        <f t="shared" si="13"/>
        <v/>
      </c>
      <c r="AD31" t="str">
        <f t="shared" si="13"/>
        <v/>
      </c>
      <c r="AE31" t="str">
        <f t="shared" si="13"/>
        <v/>
      </c>
      <c r="AF31" t="str">
        <f t="shared" si="13"/>
        <v/>
      </c>
      <c r="AG31" t="str">
        <f t="shared" si="13"/>
        <v/>
      </c>
      <c r="AH31" t="str">
        <f t="shared" si="13"/>
        <v/>
      </c>
      <c r="AI31" t="str">
        <f t="shared" si="13"/>
        <v/>
      </c>
      <c r="AJ31" t="str">
        <f t="shared" ref="AJ31:AS40" si="14">IF(AND($E31&lt;&gt;"",$F31&lt;&gt;"",AJ$9&gt;=$E31,AJ$9&lt;=$F31),"■","")</f>
        <v/>
      </c>
      <c r="AK31" t="str">
        <f t="shared" si="14"/>
        <v/>
      </c>
      <c r="AL31" t="str">
        <f t="shared" si="14"/>
        <v/>
      </c>
      <c r="AM31" t="str">
        <f t="shared" si="14"/>
        <v/>
      </c>
      <c r="AN31" t="str">
        <f t="shared" si="14"/>
        <v/>
      </c>
      <c r="AO31" t="str">
        <f t="shared" si="14"/>
        <v/>
      </c>
      <c r="AP31" t="str">
        <f t="shared" si="14"/>
        <v/>
      </c>
      <c r="AQ31" t="str">
        <f t="shared" si="14"/>
        <v/>
      </c>
      <c r="AR31" t="str">
        <f t="shared" si="14"/>
        <v/>
      </c>
      <c r="AS31" t="str">
        <f t="shared" si="14"/>
        <v/>
      </c>
      <c r="AT31" t="str">
        <f t="shared" ref="AT31:BC40" si="15">IF(AND($E31&lt;&gt;"",$F31&lt;&gt;"",AT$9&gt;=$E31,AT$9&lt;=$F31),"■","")</f>
        <v/>
      </c>
      <c r="AU31" t="str">
        <f t="shared" si="15"/>
        <v/>
      </c>
      <c r="AV31" t="str">
        <f t="shared" si="15"/>
        <v/>
      </c>
      <c r="AW31" t="str">
        <f t="shared" si="15"/>
        <v/>
      </c>
      <c r="AX31" t="str">
        <f t="shared" si="15"/>
        <v/>
      </c>
      <c r="AY31" t="str">
        <f t="shared" si="15"/>
        <v/>
      </c>
      <c r="AZ31" t="str">
        <f t="shared" si="15"/>
        <v/>
      </c>
      <c r="BA31" t="str">
        <f t="shared" si="15"/>
        <v/>
      </c>
      <c r="BB31" t="str">
        <f t="shared" si="15"/>
        <v/>
      </c>
      <c r="BC31" t="str">
        <f t="shared" si="15"/>
        <v/>
      </c>
      <c r="BD31" t="str">
        <f t="shared" ref="BD31:BM40" si="16">IF(AND($E31&lt;&gt;"",$F31&lt;&gt;"",BD$9&gt;=$E31,BD$9&lt;=$F31),"■","")</f>
        <v/>
      </c>
      <c r="BE31" t="str">
        <f t="shared" si="16"/>
        <v/>
      </c>
      <c r="BF31" t="str">
        <f t="shared" si="16"/>
        <v/>
      </c>
      <c r="BG31" t="str">
        <f t="shared" si="16"/>
        <v/>
      </c>
      <c r="BH31" t="str">
        <f t="shared" si="16"/>
        <v/>
      </c>
      <c r="BI31" t="str">
        <f t="shared" si="16"/>
        <v/>
      </c>
      <c r="BJ31" t="str">
        <f t="shared" si="16"/>
        <v/>
      </c>
      <c r="BK31" t="str">
        <f t="shared" si="16"/>
        <v/>
      </c>
      <c r="BL31" t="str">
        <f t="shared" si="16"/>
        <v/>
      </c>
      <c r="BM31" t="str">
        <f t="shared" si="16"/>
        <v/>
      </c>
      <c r="BN31" t="str">
        <f t="shared" ref="BN31:BW40" si="17">IF(AND($E31&lt;&gt;"",$F31&lt;&gt;"",BN$9&gt;=$E31,BN$9&lt;=$F31),"■","")</f>
        <v/>
      </c>
      <c r="BO31" t="str">
        <f t="shared" si="17"/>
        <v/>
      </c>
      <c r="BP31" t="str">
        <f t="shared" si="17"/>
        <v/>
      </c>
      <c r="BQ31" t="str">
        <f t="shared" si="17"/>
        <v/>
      </c>
      <c r="BR31" t="str">
        <f t="shared" si="17"/>
        <v/>
      </c>
      <c r="BS31" t="str">
        <f t="shared" si="17"/>
        <v/>
      </c>
      <c r="BT31" t="str">
        <f t="shared" si="17"/>
        <v/>
      </c>
      <c r="BU31" t="str">
        <f t="shared" si="17"/>
        <v/>
      </c>
      <c r="BV31" t="str">
        <f t="shared" si="17"/>
        <v/>
      </c>
      <c r="BW31" t="str">
        <f t="shared" si="17"/>
        <v/>
      </c>
    </row>
    <row r="32" spans="1:75" x14ac:dyDescent="0.25">
      <c r="A32" t="s">
        <v>130</v>
      </c>
      <c r="J32">
        <f>SUMIFS('Suivi Temps'!$D:$D,'Suivi Temps'!$A:$A,"P002-022")</f>
        <v>0</v>
      </c>
      <c r="P32" t="str">
        <f t="shared" si="12"/>
        <v/>
      </c>
      <c r="Q32" t="str">
        <f t="shared" si="12"/>
        <v/>
      </c>
      <c r="R32" t="str">
        <f t="shared" si="12"/>
        <v/>
      </c>
      <c r="S32" t="str">
        <f t="shared" si="12"/>
        <v/>
      </c>
      <c r="T32" t="str">
        <f t="shared" si="12"/>
        <v/>
      </c>
      <c r="U32" t="str">
        <f t="shared" si="12"/>
        <v/>
      </c>
      <c r="V32" t="str">
        <f t="shared" si="12"/>
        <v/>
      </c>
      <c r="W32" t="str">
        <f t="shared" si="12"/>
        <v/>
      </c>
      <c r="X32" t="str">
        <f t="shared" si="12"/>
        <v/>
      </c>
      <c r="Y32" t="str">
        <f t="shared" si="12"/>
        <v/>
      </c>
      <c r="Z32" t="str">
        <f t="shared" si="13"/>
        <v/>
      </c>
      <c r="AA32" t="str">
        <f t="shared" si="13"/>
        <v/>
      </c>
      <c r="AB32" t="str">
        <f t="shared" si="13"/>
        <v/>
      </c>
      <c r="AC32" t="str">
        <f t="shared" si="13"/>
        <v/>
      </c>
      <c r="AD32" t="str">
        <f t="shared" si="13"/>
        <v/>
      </c>
      <c r="AE32" t="str">
        <f t="shared" si="13"/>
        <v/>
      </c>
      <c r="AF32" t="str">
        <f t="shared" si="13"/>
        <v/>
      </c>
      <c r="AG32" t="str">
        <f t="shared" si="13"/>
        <v/>
      </c>
      <c r="AH32" t="str">
        <f t="shared" si="13"/>
        <v/>
      </c>
      <c r="AI32" t="str">
        <f t="shared" si="13"/>
        <v/>
      </c>
      <c r="AJ32" t="str">
        <f t="shared" si="14"/>
        <v/>
      </c>
      <c r="AK32" t="str">
        <f t="shared" si="14"/>
        <v/>
      </c>
      <c r="AL32" t="str">
        <f t="shared" si="14"/>
        <v/>
      </c>
      <c r="AM32" t="str">
        <f t="shared" si="14"/>
        <v/>
      </c>
      <c r="AN32" t="str">
        <f t="shared" si="14"/>
        <v/>
      </c>
      <c r="AO32" t="str">
        <f t="shared" si="14"/>
        <v/>
      </c>
      <c r="AP32" t="str">
        <f t="shared" si="14"/>
        <v/>
      </c>
      <c r="AQ32" t="str">
        <f t="shared" si="14"/>
        <v/>
      </c>
      <c r="AR32" t="str">
        <f t="shared" si="14"/>
        <v/>
      </c>
      <c r="AS32" t="str">
        <f t="shared" si="14"/>
        <v/>
      </c>
      <c r="AT32" t="str">
        <f t="shared" si="15"/>
        <v/>
      </c>
      <c r="AU32" t="str">
        <f t="shared" si="15"/>
        <v/>
      </c>
      <c r="AV32" t="str">
        <f t="shared" si="15"/>
        <v/>
      </c>
      <c r="AW32" t="str">
        <f t="shared" si="15"/>
        <v/>
      </c>
      <c r="AX32" t="str">
        <f t="shared" si="15"/>
        <v/>
      </c>
      <c r="AY32" t="str">
        <f t="shared" si="15"/>
        <v/>
      </c>
      <c r="AZ32" t="str">
        <f t="shared" si="15"/>
        <v/>
      </c>
      <c r="BA32" t="str">
        <f t="shared" si="15"/>
        <v/>
      </c>
      <c r="BB32" t="str">
        <f t="shared" si="15"/>
        <v/>
      </c>
      <c r="BC32" t="str">
        <f t="shared" si="15"/>
        <v/>
      </c>
      <c r="BD32" t="str">
        <f t="shared" si="16"/>
        <v/>
      </c>
      <c r="BE32" t="str">
        <f t="shared" si="16"/>
        <v/>
      </c>
      <c r="BF32" t="str">
        <f t="shared" si="16"/>
        <v/>
      </c>
      <c r="BG32" t="str">
        <f t="shared" si="16"/>
        <v/>
      </c>
      <c r="BH32" t="str">
        <f t="shared" si="16"/>
        <v/>
      </c>
      <c r="BI32" t="str">
        <f t="shared" si="16"/>
        <v/>
      </c>
      <c r="BJ32" t="str">
        <f t="shared" si="16"/>
        <v/>
      </c>
      <c r="BK32" t="str">
        <f t="shared" si="16"/>
        <v/>
      </c>
      <c r="BL32" t="str">
        <f t="shared" si="16"/>
        <v/>
      </c>
      <c r="BM32" t="str">
        <f t="shared" si="16"/>
        <v/>
      </c>
      <c r="BN32" t="str">
        <f t="shared" si="17"/>
        <v/>
      </c>
      <c r="BO32" t="str">
        <f t="shared" si="17"/>
        <v/>
      </c>
      <c r="BP32" t="str">
        <f t="shared" si="17"/>
        <v/>
      </c>
      <c r="BQ32" t="str">
        <f t="shared" si="17"/>
        <v/>
      </c>
      <c r="BR32" t="str">
        <f t="shared" si="17"/>
        <v/>
      </c>
      <c r="BS32" t="str">
        <f t="shared" si="17"/>
        <v/>
      </c>
      <c r="BT32" t="str">
        <f t="shared" si="17"/>
        <v/>
      </c>
      <c r="BU32" t="str">
        <f t="shared" si="17"/>
        <v/>
      </c>
      <c r="BV32" t="str">
        <f t="shared" si="17"/>
        <v/>
      </c>
      <c r="BW32" t="str">
        <f t="shared" si="17"/>
        <v/>
      </c>
    </row>
    <row r="33" spans="1:75" x14ac:dyDescent="0.25">
      <c r="A33" t="s">
        <v>131</v>
      </c>
      <c r="J33">
        <f>SUMIFS('Suivi Temps'!$D:$D,'Suivi Temps'!$A:$A,"P002-023")</f>
        <v>0</v>
      </c>
      <c r="P33" t="str">
        <f t="shared" si="12"/>
        <v/>
      </c>
      <c r="Q33" t="str">
        <f t="shared" si="12"/>
        <v/>
      </c>
      <c r="R33" t="str">
        <f t="shared" si="12"/>
        <v/>
      </c>
      <c r="S33" t="str">
        <f t="shared" si="12"/>
        <v/>
      </c>
      <c r="T33" t="str">
        <f t="shared" si="12"/>
        <v/>
      </c>
      <c r="U33" t="str">
        <f t="shared" si="12"/>
        <v/>
      </c>
      <c r="V33" t="str">
        <f t="shared" si="12"/>
        <v/>
      </c>
      <c r="W33" t="str">
        <f t="shared" si="12"/>
        <v/>
      </c>
      <c r="X33" t="str">
        <f t="shared" si="12"/>
        <v/>
      </c>
      <c r="Y33" t="str">
        <f t="shared" si="12"/>
        <v/>
      </c>
      <c r="Z33" t="str">
        <f t="shared" si="13"/>
        <v/>
      </c>
      <c r="AA33" t="str">
        <f t="shared" si="13"/>
        <v/>
      </c>
      <c r="AB33" t="str">
        <f t="shared" si="13"/>
        <v/>
      </c>
      <c r="AC33" t="str">
        <f t="shared" si="13"/>
        <v/>
      </c>
      <c r="AD33" t="str">
        <f t="shared" si="13"/>
        <v/>
      </c>
      <c r="AE33" t="str">
        <f t="shared" si="13"/>
        <v/>
      </c>
      <c r="AF33" t="str">
        <f t="shared" si="13"/>
        <v/>
      </c>
      <c r="AG33" t="str">
        <f t="shared" si="13"/>
        <v/>
      </c>
      <c r="AH33" t="str">
        <f t="shared" si="13"/>
        <v/>
      </c>
      <c r="AI33" t="str">
        <f t="shared" si="13"/>
        <v/>
      </c>
      <c r="AJ33" t="str">
        <f t="shared" si="14"/>
        <v/>
      </c>
      <c r="AK33" t="str">
        <f t="shared" si="14"/>
        <v/>
      </c>
      <c r="AL33" t="str">
        <f t="shared" si="14"/>
        <v/>
      </c>
      <c r="AM33" t="str">
        <f t="shared" si="14"/>
        <v/>
      </c>
      <c r="AN33" t="str">
        <f t="shared" si="14"/>
        <v/>
      </c>
      <c r="AO33" t="str">
        <f t="shared" si="14"/>
        <v/>
      </c>
      <c r="AP33" t="str">
        <f t="shared" si="14"/>
        <v/>
      </c>
      <c r="AQ33" t="str">
        <f t="shared" si="14"/>
        <v/>
      </c>
      <c r="AR33" t="str">
        <f t="shared" si="14"/>
        <v/>
      </c>
      <c r="AS33" t="str">
        <f t="shared" si="14"/>
        <v/>
      </c>
      <c r="AT33" t="str">
        <f t="shared" si="15"/>
        <v/>
      </c>
      <c r="AU33" t="str">
        <f t="shared" si="15"/>
        <v/>
      </c>
      <c r="AV33" t="str">
        <f t="shared" si="15"/>
        <v/>
      </c>
      <c r="AW33" t="str">
        <f t="shared" si="15"/>
        <v/>
      </c>
      <c r="AX33" t="str">
        <f t="shared" si="15"/>
        <v/>
      </c>
      <c r="AY33" t="str">
        <f t="shared" si="15"/>
        <v/>
      </c>
      <c r="AZ33" t="str">
        <f t="shared" si="15"/>
        <v/>
      </c>
      <c r="BA33" t="str">
        <f t="shared" si="15"/>
        <v/>
      </c>
      <c r="BB33" t="str">
        <f t="shared" si="15"/>
        <v/>
      </c>
      <c r="BC33" t="str">
        <f t="shared" si="15"/>
        <v/>
      </c>
      <c r="BD33" t="str">
        <f t="shared" si="16"/>
        <v/>
      </c>
      <c r="BE33" t="str">
        <f t="shared" si="16"/>
        <v/>
      </c>
      <c r="BF33" t="str">
        <f t="shared" si="16"/>
        <v/>
      </c>
      <c r="BG33" t="str">
        <f t="shared" si="16"/>
        <v/>
      </c>
      <c r="BH33" t="str">
        <f t="shared" si="16"/>
        <v/>
      </c>
      <c r="BI33" t="str">
        <f t="shared" si="16"/>
        <v/>
      </c>
      <c r="BJ33" t="str">
        <f t="shared" si="16"/>
        <v/>
      </c>
      <c r="BK33" t="str">
        <f t="shared" si="16"/>
        <v/>
      </c>
      <c r="BL33" t="str">
        <f t="shared" si="16"/>
        <v/>
      </c>
      <c r="BM33" t="str">
        <f t="shared" si="16"/>
        <v/>
      </c>
      <c r="BN33" t="str">
        <f t="shared" si="17"/>
        <v/>
      </c>
      <c r="BO33" t="str">
        <f t="shared" si="17"/>
        <v/>
      </c>
      <c r="BP33" t="str">
        <f t="shared" si="17"/>
        <v/>
      </c>
      <c r="BQ33" t="str">
        <f t="shared" si="17"/>
        <v/>
      </c>
      <c r="BR33" t="str">
        <f t="shared" si="17"/>
        <v/>
      </c>
      <c r="BS33" t="str">
        <f t="shared" si="17"/>
        <v/>
      </c>
      <c r="BT33" t="str">
        <f t="shared" si="17"/>
        <v/>
      </c>
      <c r="BU33" t="str">
        <f t="shared" si="17"/>
        <v/>
      </c>
      <c r="BV33" t="str">
        <f t="shared" si="17"/>
        <v/>
      </c>
      <c r="BW33" t="str">
        <f t="shared" si="17"/>
        <v/>
      </c>
    </row>
    <row r="34" spans="1:75" x14ac:dyDescent="0.25">
      <c r="A34" t="s">
        <v>132</v>
      </c>
      <c r="J34">
        <f>SUMIFS('Suivi Temps'!$D:$D,'Suivi Temps'!$A:$A,"P002-024")</f>
        <v>0</v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3"/>
        <v/>
      </c>
      <c r="AA34" t="str">
        <f t="shared" si="13"/>
        <v/>
      </c>
      <c r="AB34" t="str">
        <f t="shared" si="13"/>
        <v/>
      </c>
      <c r="AC34" t="str">
        <f t="shared" si="13"/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4"/>
        <v/>
      </c>
      <c r="AK34" t="str">
        <f t="shared" si="14"/>
        <v/>
      </c>
      <c r="AL34" t="str">
        <f t="shared" si="14"/>
        <v/>
      </c>
      <c r="AM34" t="str">
        <f t="shared" si="14"/>
        <v/>
      </c>
      <c r="AN34" t="str">
        <f t="shared" si="14"/>
        <v/>
      </c>
      <c r="AO34" t="str">
        <f t="shared" si="14"/>
        <v/>
      </c>
      <c r="AP34" t="str">
        <f t="shared" si="14"/>
        <v/>
      </c>
      <c r="AQ34" t="str">
        <f t="shared" si="14"/>
        <v/>
      </c>
      <c r="AR34" t="str">
        <f t="shared" si="14"/>
        <v/>
      </c>
      <c r="AS34" t="str">
        <f t="shared" si="14"/>
        <v/>
      </c>
      <c r="AT34" t="str">
        <f t="shared" si="15"/>
        <v/>
      </c>
      <c r="AU34" t="str">
        <f t="shared" si="15"/>
        <v/>
      </c>
      <c r="AV34" t="str">
        <f t="shared" si="15"/>
        <v/>
      </c>
      <c r="AW34" t="str">
        <f t="shared" si="15"/>
        <v/>
      </c>
      <c r="AX34" t="str">
        <f t="shared" si="15"/>
        <v/>
      </c>
      <c r="AY34" t="str">
        <f t="shared" si="15"/>
        <v/>
      </c>
      <c r="AZ34" t="str">
        <f t="shared" si="15"/>
        <v/>
      </c>
      <c r="BA34" t="str">
        <f t="shared" si="15"/>
        <v/>
      </c>
      <c r="BB34" t="str">
        <f t="shared" si="15"/>
        <v/>
      </c>
      <c r="BC34" t="str">
        <f t="shared" si="15"/>
        <v/>
      </c>
      <c r="BD34" t="str">
        <f t="shared" si="16"/>
        <v/>
      </c>
      <c r="BE34" t="str">
        <f t="shared" si="16"/>
        <v/>
      </c>
      <c r="BF34" t="str">
        <f t="shared" si="16"/>
        <v/>
      </c>
      <c r="BG34" t="str">
        <f t="shared" si="16"/>
        <v/>
      </c>
      <c r="BH34" t="str">
        <f t="shared" si="16"/>
        <v/>
      </c>
      <c r="BI34" t="str">
        <f t="shared" si="16"/>
        <v/>
      </c>
      <c r="BJ34" t="str">
        <f t="shared" si="16"/>
        <v/>
      </c>
      <c r="BK34" t="str">
        <f t="shared" si="16"/>
        <v/>
      </c>
      <c r="BL34" t="str">
        <f t="shared" si="16"/>
        <v/>
      </c>
      <c r="BM34" t="str">
        <f t="shared" si="16"/>
        <v/>
      </c>
      <c r="BN34" t="str">
        <f t="shared" si="17"/>
        <v/>
      </c>
      <c r="BO34" t="str">
        <f t="shared" si="17"/>
        <v/>
      </c>
      <c r="BP34" t="str">
        <f t="shared" si="17"/>
        <v/>
      </c>
      <c r="BQ34" t="str">
        <f t="shared" si="17"/>
        <v/>
      </c>
      <c r="BR34" t="str">
        <f t="shared" si="17"/>
        <v/>
      </c>
      <c r="BS34" t="str">
        <f t="shared" si="17"/>
        <v/>
      </c>
      <c r="BT34" t="str">
        <f t="shared" si="17"/>
        <v/>
      </c>
      <c r="BU34" t="str">
        <f t="shared" si="17"/>
        <v/>
      </c>
      <c r="BV34" t="str">
        <f t="shared" si="17"/>
        <v/>
      </c>
      <c r="BW34" t="str">
        <f t="shared" si="17"/>
        <v/>
      </c>
    </row>
    <row r="35" spans="1:75" x14ac:dyDescent="0.25">
      <c r="A35" t="s">
        <v>133</v>
      </c>
      <c r="J35">
        <f>SUMIFS('Suivi Temps'!$D:$D,'Suivi Temps'!$A:$A,"P002-025")</f>
        <v>0</v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3"/>
        <v/>
      </c>
      <c r="AA35" t="str">
        <f t="shared" si="13"/>
        <v/>
      </c>
      <c r="AB35" t="str">
        <f t="shared" si="13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4"/>
        <v/>
      </c>
      <c r="AK35" t="str">
        <f t="shared" si="14"/>
        <v/>
      </c>
      <c r="AL35" t="str">
        <f t="shared" si="14"/>
        <v/>
      </c>
      <c r="AM35" t="str">
        <f t="shared" si="14"/>
        <v/>
      </c>
      <c r="AN35" t="str">
        <f t="shared" si="14"/>
        <v/>
      </c>
      <c r="AO35" t="str">
        <f t="shared" si="14"/>
        <v/>
      </c>
      <c r="AP35" t="str">
        <f t="shared" si="14"/>
        <v/>
      </c>
      <c r="AQ35" t="str">
        <f t="shared" si="14"/>
        <v/>
      </c>
      <c r="AR35" t="str">
        <f t="shared" si="14"/>
        <v/>
      </c>
      <c r="AS35" t="str">
        <f t="shared" si="14"/>
        <v/>
      </c>
      <c r="AT35" t="str">
        <f t="shared" si="15"/>
        <v/>
      </c>
      <c r="AU35" t="str">
        <f t="shared" si="15"/>
        <v/>
      </c>
      <c r="AV35" t="str">
        <f t="shared" si="15"/>
        <v/>
      </c>
      <c r="AW35" t="str">
        <f t="shared" si="15"/>
        <v/>
      </c>
      <c r="AX35" t="str">
        <f t="shared" si="15"/>
        <v/>
      </c>
      <c r="AY35" t="str">
        <f t="shared" si="15"/>
        <v/>
      </c>
      <c r="AZ35" t="str">
        <f t="shared" si="15"/>
        <v/>
      </c>
      <c r="BA35" t="str">
        <f t="shared" si="15"/>
        <v/>
      </c>
      <c r="BB35" t="str">
        <f t="shared" si="15"/>
        <v/>
      </c>
      <c r="BC35" t="str">
        <f t="shared" si="15"/>
        <v/>
      </c>
      <c r="BD35" t="str">
        <f t="shared" si="16"/>
        <v/>
      </c>
      <c r="BE35" t="str">
        <f t="shared" si="16"/>
        <v/>
      </c>
      <c r="BF35" t="str">
        <f t="shared" si="16"/>
        <v/>
      </c>
      <c r="BG35" t="str">
        <f t="shared" si="16"/>
        <v/>
      </c>
      <c r="BH35" t="str">
        <f t="shared" si="16"/>
        <v/>
      </c>
      <c r="BI35" t="str">
        <f t="shared" si="16"/>
        <v/>
      </c>
      <c r="BJ35" t="str">
        <f t="shared" si="16"/>
        <v/>
      </c>
      <c r="BK35" t="str">
        <f t="shared" si="16"/>
        <v/>
      </c>
      <c r="BL35" t="str">
        <f t="shared" si="16"/>
        <v/>
      </c>
      <c r="BM35" t="str">
        <f t="shared" si="16"/>
        <v/>
      </c>
      <c r="BN35" t="str">
        <f t="shared" si="17"/>
        <v/>
      </c>
      <c r="BO35" t="str">
        <f t="shared" si="17"/>
        <v/>
      </c>
      <c r="BP35" t="str">
        <f t="shared" si="17"/>
        <v/>
      </c>
      <c r="BQ35" t="str">
        <f t="shared" si="17"/>
        <v/>
      </c>
      <c r="BR35" t="str">
        <f t="shared" si="17"/>
        <v/>
      </c>
      <c r="BS35" t="str">
        <f t="shared" si="17"/>
        <v/>
      </c>
      <c r="BT35" t="str">
        <f t="shared" si="17"/>
        <v/>
      </c>
      <c r="BU35" t="str">
        <f t="shared" si="17"/>
        <v/>
      </c>
      <c r="BV35" t="str">
        <f t="shared" si="17"/>
        <v/>
      </c>
      <c r="BW35" t="str">
        <f t="shared" si="17"/>
        <v/>
      </c>
    </row>
    <row r="36" spans="1:75" x14ac:dyDescent="0.25">
      <c r="A36" t="s">
        <v>134</v>
      </c>
      <c r="J36">
        <f>SUMIFS('Suivi Temps'!$D:$D,'Suivi Temps'!$A:$A,"P002-026")</f>
        <v>0</v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3"/>
        <v/>
      </c>
      <c r="AA36" t="str">
        <f t="shared" si="13"/>
        <v/>
      </c>
      <c r="AB36" t="str">
        <f t="shared" si="13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4"/>
        <v/>
      </c>
      <c r="AK36" t="str">
        <f t="shared" si="14"/>
        <v/>
      </c>
      <c r="AL36" t="str">
        <f t="shared" si="14"/>
        <v/>
      </c>
      <c r="AM36" t="str">
        <f t="shared" si="14"/>
        <v/>
      </c>
      <c r="AN36" t="str">
        <f t="shared" si="14"/>
        <v/>
      </c>
      <c r="AO36" t="str">
        <f t="shared" si="14"/>
        <v/>
      </c>
      <c r="AP36" t="str">
        <f t="shared" si="14"/>
        <v/>
      </c>
      <c r="AQ36" t="str">
        <f t="shared" si="14"/>
        <v/>
      </c>
      <c r="AR36" t="str">
        <f t="shared" si="14"/>
        <v/>
      </c>
      <c r="AS36" t="str">
        <f t="shared" si="14"/>
        <v/>
      </c>
      <c r="AT36" t="str">
        <f t="shared" si="15"/>
        <v/>
      </c>
      <c r="AU36" t="str">
        <f t="shared" si="15"/>
        <v/>
      </c>
      <c r="AV36" t="str">
        <f t="shared" si="15"/>
        <v/>
      </c>
      <c r="AW36" t="str">
        <f t="shared" si="15"/>
        <v/>
      </c>
      <c r="AX36" t="str">
        <f t="shared" si="15"/>
        <v/>
      </c>
      <c r="AY36" t="str">
        <f t="shared" si="15"/>
        <v/>
      </c>
      <c r="AZ36" t="str">
        <f t="shared" si="15"/>
        <v/>
      </c>
      <c r="BA36" t="str">
        <f t="shared" si="15"/>
        <v/>
      </c>
      <c r="BB36" t="str">
        <f t="shared" si="15"/>
        <v/>
      </c>
      <c r="BC36" t="str">
        <f t="shared" si="15"/>
        <v/>
      </c>
      <c r="BD36" t="str">
        <f t="shared" si="16"/>
        <v/>
      </c>
      <c r="BE36" t="str">
        <f t="shared" si="16"/>
        <v/>
      </c>
      <c r="BF36" t="str">
        <f t="shared" si="16"/>
        <v/>
      </c>
      <c r="BG36" t="str">
        <f t="shared" si="16"/>
        <v/>
      </c>
      <c r="BH36" t="str">
        <f t="shared" si="16"/>
        <v/>
      </c>
      <c r="BI36" t="str">
        <f t="shared" si="16"/>
        <v/>
      </c>
      <c r="BJ36" t="str">
        <f t="shared" si="16"/>
        <v/>
      </c>
      <c r="BK36" t="str">
        <f t="shared" si="16"/>
        <v/>
      </c>
      <c r="BL36" t="str">
        <f t="shared" si="16"/>
        <v/>
      </c>
      <c r="BM36" t="str">
        <f t="shared" si="16"/>
        <v/>
      </c>
      <c r="BN36" t="str">
        <f t="shared" si="17"/>
        <v/>
      </c>
      <c r="BO36" t="str">
        <f t="shared" si="17"/>
        <v/>
      </c>
      <c r="BP36" t="str">
        <f t="shared" si="17"/>
        <v/>
      </c>
      <c r="BQ36" t="str">
        <f t="shared" si="17"/>
        <v/>
      </c>
      <c r="BR36" t="str">
        <f t="shared" si="17"/>
        <v/>
      </c>
      <c r="BS36" t="str">
        <f t="shared" si="17"/>
        <v/>
      </c>
      <c r="BT36" t="str">
        <f t="shared" si="17"/>
        <v/>
      </c>
      <c r="BU36" t="str">
        <f t="shared" si="17"/>
        <v/>
      </c>
      <c r="BV36" t="str">
        <f t="shared" si="17"/>
        <v/>
      </c>
      <c r="BW36" t="str">
        <f t="shared" si="17"/>
        <v/>
      </c>
    </row>
    <row r="37" spans="1:75" x14ac:dyDescent="0.25">
      <c r="A37" t="s">
        <v>135</v>
      </c>
      <c r="J37">
        <f>SUMIFS('Suivi Temps'!$D:$D,'Suivi Temps'!$A:$A,"P002-027")</f>
        <v>0</v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3"/>
        <v/>
      </c>
      <c r="AA37" t="str">
        <f t="shared" si="13"/>
        <v/>
      </c>
      <c r="AB37" t="str">
        <f t="shared" si="13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4"/>
        <v/>
      </c>
      <c r="AK37" t="str">
        <f t="shared" si="14"/>
        <v/>
      </c>
      <c r="AL37" t="str">
        <f t="shared" si="14"/>
        <v/>
      </c>
      <c r="AM37" t="str">
        <f t="shared" si="14"/>
        <v/>
      </c>
      <c r="AN37" t="str">
        <f t="shared" si="14"/>
        <v/>
      </c>
      <c r="AO37" t="str">
        <f t="shared" si="14"/>
        <v/>
      </c>
      <c r="AP37" t="str">
        <f t="shared" si="14"/>
        <v/>
      </c>
      <c r="AQ37" t="str">
        <f t="shared" si="14"/>
        <v/>
      </c>
      <c r="AR37" t="str">
        <f t="shared" si="14"/>
        <v/>
      </c>
      <c r="AS37" t="str">
        <f t="shared" si="14"/>
        <v/>
      </c>
      <c r="AT37" t="str">
        <f t="shared" si="15"/>
        <v/>
      </c>
      <c r="AU37" t="str">
        <f t="shared" si="15"/>
        <v/>
      </c>
      <c r="AV37" t="str">
        <f t="shared" si="15"/>
        <v/>
      </c>
      <c r="AW37" t="str">
        <f t="shared" si="15"/>
        <v/>
      </c>
      <c r="AX37" t="str">
        <f t="shared" si="15"/>
        <v/>
      </c>
      <c r="AY37" t="str">
        <f t="shared" si="15"/>
        <v/>
      </c>
      <c r="AZ37" t="str">
        <f t="shared" si="15"/>
        <v/>
      </c>
      <c r="BA37" t="str">
        <f t="shared" si="15"/>
        <v/>
      </c>
      <c r="BB37" t="str">
        <f t="shared" si="15"/>
        <v/>
      </c>
      <c r="BC37" t="str">
        <f t="shared" si="15"/>
        <v/>
      </c>
      <c r="BD37" t="str">
        <f t="shared" si="16"/>
        <v/>
      </c>
      <c r="BE37" t="str">
        <f t="shared" si="16"/>
        <v/>
      </c>
      <c r="BF37" t="str">
        <f t="shared" si="16"/>
        <v/>
      </c>
      <c r="BG37" t="str">
        <f t="shared" si="16"/>
        <v/>
      </c>
      <c r="BH37" t="str">
        <f t="shared" si="16"/>
        <v/>
      </c>
      <c r="BI37" t="str">
        <f t="shared" si="16"/>
        <v/>
      </c>
      <c r="BJ37" t="str">
        <f t="shared" si="16"/>
        <v/>
      </c>
      <c r="BK37" t="str">
        <f t="shared" si="16"/>
        <v/>
      </c>
      <c r="BL37" t="str">
        <f t="shared" si="16"/>
        <v/>
      </c>
      <c r="BM37" t="str">
        <f t="shared" si="16"/>
        <v/>
      </c>
      <c r="BN37" t="str">
        <f t="shared" si="17"/>
        <v/>
      </c>
      <c r="BO37" t="str">
        <f t="shared" si="17"/>
        <v/>
      </c>
      <c r="BP37" t="str">
        <f t="shared" si="17"/>
        <v/>
      </c>
      <c r="BQ37" t="str">
        <f t="shared" si="17"/>
        <v/>
      </c>
      <c r="BR37" t="str">
        <f t="shared" si="17"/>
        <v/>
      </c>
      <c r="BS37" t="str">
        <f t="shared" si="17"/>
        <v/>
      </c>
      <c r="BT37" t="str">
        <f t="shared" si="17"/>
        <v/>
      </c>
      <c r="BU37" t="str">
        <f t="shared" si="17"/>
        <v/>
      </c>
      <c r="BV37" t="str">
        <f t="shared" si="17"/>
        <v/>
      </c>
      <c r="BW37" t="str">
        <f t="shared" si="17"/>
        <v/>
      </c>
    </row>
    <row r="38" spans="1:75" x14ac:dyDescent="0.25">
      <c r="A38" t="s">
        <v>136</v>
      </c>
      <c r="J38">
        <f>SUMIFS('Suivi Temps'!$D:$D,'Suivi Temps'!$A:$A,"P002-028")</f>
        <v>0</v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3"/>
        <v/>
      </c>
      <c r="AA38" t="str">
        <f t="shared" si="13"/>
        <v/>
      </c>
      <c r="AB38" t="str">
        <f t="shared" si="13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4"/>
        <v/>
      </c>
      <c r="AK38" t="str">
        <f t="shared" si="14"/>
        <v/>
      </c>
      <c r="AL38" t="str">
        <f t="shared" si="14"/>
        <v/>
      </c>
      <c r="AM38" t="str">
        <f t="shared" si="14"/>
        <v/>
      </c>
      <c r="AN38" t="str">
        <f t="shared" si="14"/>
        <v/>
      </c>
      <c r="AO38" t="str">
        <f t="shared" si="14"/>
        <v/>
      </c>
      <c r="AP38" t="str">
        <f t="shared" si="14"/>
        <v/>
      </c>
      <c r="AQ38" t="str">
        <f t="shared" si="14"/>
        <v/>
      </c>
      <c r="AR38" t="str">
        <f t="shared" si="14"/>
        <v/>
      </c>
      <c r="AS38" t="str">
        <f t="shared" si="14"/>
        <v/>
      </c>
      <c r="AT38" t="str">
        <f t="shared" si="15"/>
        <v/>
      </c>
      <c r="AU38" t="str">
        <f t="shared" si="15"/>
        <v/>
      </c>
      <c r="AV38" t="str">
        <f t="shared" si="15"/>
        <v/>
      </c>
      <c r="AW38" t="str">
        <f t="shared" si="15"/>
        <v/>
      </c>
      <c r="AX38" t="str">
        <f t="shared" si="15"/>
        <v/>
      </c>
      <c r="AY38" t="str">
        <f t="shared" si="15"/>
        <v/>
      </c>
      <c r="AZ38" t="str">
        <f t="shared" si="15"/>
        <v/>
      </c>
      <c r="BA38" t="str">
        <f t="shared" si="15"/>
        <v/>
      </c>
      <c r="BB38" t="str">
        <f t="shared" si="15"/>
        <v/>
      </c>
      <c r="BC38" t="str">
        <f t="shared" si="15"/>
        <v/>
      </c>
      <c r="BD38" t="str">
        <f t="shared" si="16"/>
        <v/>
      </c>
      <c r="BE38" t="str">
        <f t="shared" si="16"/>
        <v/>
      </c>
      <c r="BF38" t="str">
        <f t="shared" si="16"/>
        <v/>
      </c>
      <c r="BG38" t="str">
        <f t="shared" si="16"/>
        <v/>
      </c>
      <c r="BH38" t="str">
        <f t="shared" si="16"/>
        <v/>
      </c>
      <c r="BI38" t="str">
        <f t="shared" si="16"/>
        <v/>
      </c>
      <c r="BJ38" t="str">
        <f t="shared" si="16"/>
        <v/>
      </c>
      <c r="BK38" t="str">
        <f t="shared" si="16"/>
        <v/>
      </c>
      <c r="BL38" t="str">
        <f t="shared" si="16"/>
        <v/>
      </c>
      <c r="BM38" t="str">
        <f t="shared" si="16"/>
        <v/>
      </c>
      <c r="BN38" t="str">
        <f t="shared" si="17"/>
        <v/>
      </c>
      <c r="BO38" t="str">
        <f t="shared" si="17"/>
        <v/>
      </c>
      <c r="BP38" t="str">
        <f t="shared" si="17"/>
        <v/>
      </c>
      <c r="BQ38" t="str">
        <f t="shared" si="17"/>
        <v/>
      </c>
      <c r="BR38" t="str">
        <f t="shared" si="17"/>
        <v/>
      </c>
      <c r="BS38" t="str">
        <f t="shared" si="17"/>
        <v/>
      </c>
      <c r="BT38" t="str">
        <f t="shared" si="17"/>
        <v/>
      </c>
      <c r="BU38" t="str">
        <f t="shared" si="17"/>
        <v/>
      </c>
      <c r="BV38" t="str">
        <f t="shared" si="17"/>
        <v/>
      </c>
      <c r="BW38" t="str">
        <f t="shared" si="17"/>
        <v/>
      </c>
    </row>
    <row r="39" spans="1:75" x14ac:dyDescent="0.25">
      <c r="A39" t="s">
        <v>137</v>
      </c>
      <c r="J39">
        <f>SUMIFS('Suivi Temps'!$D:$D,'Suivi Temps'!$A:$A,"P002-029")</f>
        <v>0</v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3"/>
        <v/>
      </c>
      <c r="AA39" t="str">
        <f t="shared" si="13"/>
        <v/>
      </c>
      <c r="AB39" t="str">
        <f t="shared" si="13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4"/>
        <v/>
      </c>
      <c r="AK39" t="str">
        <f t="shared" si="14"/>
        <v/>
      </c>
      <c r="AL39" t="str">
        <f t="shared" si="14"/>
        <v/>
      </c>
      <c r="AM39" t="str">
        <f t="shared" si="14"/>
        <v/>
      </c>
      <c r="AN39" t="str">
        <f t="shared" si="14"/>
        <v/>
      </c>
      <c r="AO39" t="str">
        <f t="shared" si="14"/>
        <v/>
      </c>
      <c r="AP39" t="str">
        <f t="shared" si="14"/>
        <v/>
      </c>
      <c r="AQ39" t="str">
        <f t="shared" si="14"/>
        <v/>
      </c>
      <c r="AR39" t="str">
        <f t="shared" si="14"/>
        <v/>
      </c>
      <c r="AS39" t="str">
        <f t="shared" si="14"/>
        <v/>
      </c>
      <c r="AT39" t="str">
        <f t="shared" si="15"/>
        <v/>
      </c>
      <c r="AU39" t="str">
        <f t="shared" si="15"/>
        <v/>
      </c>
      <c r="AV39" t="str">
        <f t="shared" si="15"/>
        <v/>
      </c>
      <c r="AW39" t="str">
        <f t="shared" si="15"/>
        <v/>
      </c>
      <c r="AX39" t="str">
        <f t="shared" si="15"/>
        <v/>
      </c>
      <c r="AY39" t="str">
        <f t="shared" si="15"/>
        <v/>
      </c>
      <c r="AZ39" t="str">
        <f t="shared" si="15"/>
        <v/>
      </c>
      <c r="BA39" t="str">
        <f t="shared" si="15"/>
        <v/>
      </c>
      <c r="BB39" t="str">
        <f t="shared" si="15"/>
        <v/>
      </c>
      <c r="BC39" t="str">
        <f t="shared" si="15"/>
        <v/>
      </c>
      <c r="BD39" t="str">
        <f t="shared" si="16"/>
        <v/>
      </c>
      <c r="BE39" t="str">
        <f t="shared" si="16"/>
        <v/>
      </c>
      <c r="BF39" t="str">
        <f t="shared" si="16"/>
        <v/>
      </c>
      <c r="BG39" t="str">
        <f t="shared" si="16"/>
        <v/>
      </c>
      <c r="BH39" t="str">
        <f t="shared" si="16"/>
        <v/>
      </c>
      <c r="BI39" t="str">
        <f t="shared" si="16"/>
        <v/>
      </c>
      <c r="BJ39" t="str">
        <f t="shared" si="16"/>
        <v/>
      </c>
      <c r="BK39" t="str">
        <f t="shared" si="16"/>
        <v/>
      </c>
      <c r="BL39" t="str">
        <f t="shared" si="16"/>
        <v/>
      </c>
      <c r="BM39" t="str">
        <f t="shared" si="16"/>
        <v/>
      </c>
      <c r="BN39" t="str">
        <f t="shared" si="17"/>
        <v/>
      </c>
      <c r="BO39" t="str">
        <f t="shared" si="17"/>
        <v/>
      </c>
      <c r="BP39" t="str">
        <f t="shared" si="17"/>
        <v/>
      </c>
      <c r="BQ39" t="str">
        <f t="shared" si="17"/>
        <v/>
      </c>
      <c r="BR39" t="str">
        <f t="shared" si="17"/>
        <v/>
      </c>
      <c r="BS39" t="str">
        <f t="shared" si="17"/>
        <v/>
      </c>
      <c r="BT39" t="str">
        <f t="shared" si="17"/>
        <v/>
      </c>
      <c r="BU39" t="str">
        <f t="shared" si="17"/>
        <v/>
      </c>
      <c r="BV39" t="str">
        <f t="shared" si="17"/>
        <v/>
      </c>
      <c r="BW39" t="str">
        <f t="shared" si="17"/>
        <v/>
      </c>
    </row>
    <row r="40" spans="1:75" x14ac:dyDescent="0.25">
      <c r="A40" t="s">
        <v>138</v>
      </c>
      <c r="J40">
        <f>SUMIFS('Suivi Temps'!$D:$D,'Suivi Temps'!$A:$A,"P002-030")</f>
        <v>0</v>
      </c>
      <c r="P40" t="str">
        <f t="shared" si="12"/>
        <v/>
      </c>
      <c r="Q40" t="str">
        <f t="shared" si="12"/>
        <v/>
      </c>
      <c r="R40" t="str">
        <f t="shared" si="12"/>
        <v/>
      </c>
      <c r="S40" t="str">
        <f t="shared" si="12"/>
        <v/>
      </c>
      <c r="T40" t="str">
        <f t="shared" si="12"/>
        <v/>
      </c>
      <c r="U40" t="str">
        <f t="shared" si="12"/>
        <v/>
      </c>
      <c r="V40" t="str">
        <f t="shared" si="12"/>
        <v/>
      </c>
      <c r="W40" t="str">
        <f t="shared" si="12"/>
        <v/>
      </c>
      <c r="X40" t="str">
        <f t="shared" si="12"/>
        <v/>
      </c>
      <c r="Y40" t="str">
        <f t="shared" si="12"/>
        <v/>
      </c>
      <c r="Z40" t="str">
        <f t="shared" si="13"/>
        <v/>
      </c>
      <c r="AA40" t="str">
        <f t="shared" si="13"/>
        <v/>
      </c>
      <c r="AB40" t="str">
        <f t="shared" si="13"/>
        <v/>
      </c>
      <c r="AC40" t="str">
        <f t="shared" si="13"/>
        <v/>
      </c>
      <c r="AD40" t="str">
        <f t="shared" si="13"/>
        <v/>
      </c>
      <c r="AE40" t="str">
        <f t="shared" si="13"/>
        <v/>
      </c>
      <c r="AF40" t="str">
        <f t="shared" si="13"/>
        <v/>
      </c>
      <c r="AG40" t="str">
        <f t="shared" si="13"/>
        <v/>
      </c>
      <c r="AH40" t="str">
        <f t="shared" si="13"/>
        <v/>
      </c>
      <c r="AI40" t="str">
        <f t="shared" si="13"/>
        <v/>
      </c>
      <c r="AJ40" t="str">
        <f t="shared" si="14"/>
        <v/>
      </c>
      <c r="AK40" t="str">
        <f t="shared" si="14"/>
        <v/>
      </c>
      <c r="AL40" t="str">
        <f t="shared" si="14"/>
        <v/>
      </c>
      <c r="AM40" t="str">
        <f t="shared" si="14"/>
        <v/>
      </c>
      <c r="AN40" t="str">
        <f t="shared" si="14"/>
        <v/>
      </c>
      <c r="AO40" t="str">
        <f t="shared" si="14"/>
        <v/>
      </c>
      <c r="AP40" t="str">
        <f t="shared" si="14"/>
        <v/>
      </c>
      <c r="AQ40" t="str">
        <f t="shared" si="14"/>
        <v/>
      </c>
      <c r="AR40" t="str">
        <f t="shared" si="14"/>
        <v/>
      </c>
      <c r="AS40" t="str">
        <f t="shared" si="14"/>
        <v/>
      </c>
      <c r="AT40" t="str">
        <f t="shared" si="15"/>
        <v/>
      </c>
      <c r="AU40" t="str">
        <f t="shared" si="15"/>
        <v/>
      </c>
      <c r="AV40" t="str">
        <f t="shared" si="15"/>
        <v/>
      </c>
      <c r="AW40" t="str">
        <f t="shared" si="15"/>
        <v/>
      </c>
      <c r="AX40" t="str">
        <f t="shared" si="15"/>
        <v/>
      </c>
      <c r="AY40" t="str">
        <f t="shared" si="15"/>
        <v/>
      </c>
      <c r="AZ40" t="str">
        <f t="shared" si="15"/>
        <v/>
      </c>
      <c r="BA40" t="str">
        <f t="shared" si="15"/>
        <v/>
      </c>
      <c r="BB40" t="str">
        <f t="shared" si="15"/>
        <v/>
      </c>
      <c r="BC40" t="str">
        <f t="shared" si="15"/>
        <v/>
      </c>
      <c r="BD40" t="str">
        <f t="shared" si="16"/>
        <v/>
      </c>
      <c r="BE40" t="str">
        <f t="shared" si="16"/>
        <v/>
      </c>
      <c r="BF40" t="str">
        <f t="shared" si="16"/>
        <v/>
      </c>
      <c r="BG40" t="str">
        <f t="shared" si="16"/>
        <v/>
      </c>
      <c r="BH40" t="str">
        <f t="shared" si="16"/>
        <v/>
      </c>
      <c r="BI40" t="str">
        <f t="shared" si="16"/>
        <v/>
      </c>
      <c r="BJ40" t="str">
        <f t="shared" si="16"/>
        <v/>
      </c>
      <c r="BK40" t="str">
        <f t="shared" si="16"/>
        <v/>
      </c>
      <c r="BL40" t="str">
        <f t="shared" si="16"/>
        <v/>
      </c>
      <c r="BM40" t="str">
        <f t="shared" si="16"/>
        <v/>
      </c>
      <c r="BN40" t="str">
        <f t="shared" si="17"/>
        <v/>
      </c>
      <c r="BO40" t="str">
        <f t="shared" si="17"/>
        <v/>
      </c>
      <c r="BP40" t="str">
        <f t="shared" si="17"/>
        <v/>
      </c>
      <c r="BQ40" t="str">
        <f t="shared" si="17"/>
        <v/>
      </c>
      <c r="BR40" t="str">
        <f t="shared" si="17"/>
        <v/>
      </c>
      <c r="BS40" t="str">
        <f t="shared" si="17"/>
        <v/>
      </c>
      <c r="BT40" t="str">
        <f t="shared" si="17"/>
        <v/>
      </c>
      <c r="BU40" t="str">
        <f t="shared" si="17"/>
        <v/>
      </c>
      <c r="BV40" t="str">
        <f t="shared" si="17"/>
        <v/>
      </c>
      <c r="BW40" t="str">
        <f t="shared" si="17"/>
        <v/>
      </c>
    </row>
    <row r="41" spans="1:75" x14ac:dyDescent="0.25">
      <c r="A41" t="s">
        <v>139</v>
      </c>
      <c r="J41">
        <f>SUMIFS('Suivi Temps'!$D:$D,'Suivi Temps'!$A:$A,"P002-031")</f>
        <v>0</v>
      </c>
      <c r="P41" t="str">
        <f t="shared" ref="P41:Y50" si="18">IF(AND($E41&lt;&gt;"",$F41&lt;&gt;"",P$9&gt;=$E41,P$9&lt;=$F41),"■","")</f>
        <v/>
      </c>
      <c r="Q41" t="str">
        <f t="shared" si="18"/>
        <v/>
      </c>
      <c r="R41" t="str">
        <f t="shared" si="18"/>
        <v/>
      </c>
      <c r="S41" t="str">
        <f t="shared" si="18"/>
        <v/>
      </c>
      <c r="T41" t="str">
        <f t="shared" si="18"/>
        <v/>
      </c>
      <c r="U41" t="str">
        <f t="shared" si="18"/>
        <v/>
      </c>
      <c r="V41" t="str">
        <f t="shared" si="18"/>
        <v/>
      </c>
      <c r="W41" t="str">
        <f t="shared" si="18"/>
        <v/>
      </c>
      <c r="X41" t="str">
        <f t="shared" si="18"/>
        <v/>
      </c>
      <c r="Y41" t="str">
        <f t="shared" si="18"/>
        <v/>
      </c>
      <c r="Z41" t="str">
        <f t="shared" ref="Z41:AI50" si="19">IF(AND($E41&lt;&gt;"",$F41&lt;&gt;"",Z$9&gt;=$E41,Z$9&lt;=$F41),"■","")</f>
        <v/>
      </c>
      <c r="AA41" t="str">
        <f t="shared" si="19"/>
        <v/>
      </c>
      <c r="AB41" t="str">
        <f t="shared" si="19"/>
        <v/>
      </c>
      <c r="AC41" t="str">
        <f t="shared" si="19"/>
        <v/>
      </c>
      <c r="AD41" t="str">
        <f t="shared" si="19"/>
        <v/>
      </c>
      <c r="AE41" t="str">
        <f t="shared" si="19"/>
        <v/>
      </c>
      <c r="AF41" t="str">
        <f t="shared" si="19"/>
        <v/>
      </c>
      <c r="AG41" t="str">
        <f t="shared" si="19"/>
        <v/>
      </c>
      <c r="AH41" t="str">
        <f t="shared" si="19"/>
        <v/>
      </c>
      <c r="AI41" t="str">
        <f t="shared" si="19"/>
        <v/>
      </c>
      <c r="AJ41" t="str">
        <f t="shared" ref="AJ41:AS50" si="20">IF(AND($E41&lt;&gt;"",$F41&lt;&gt;"",AJ$9&gt;=$E41,AJ$9&lt;=$F41),"■","")</f>
        <v/>
      </c>
      <c r="AK41" t="str">
        <f t="shared" si="20"/>
        <v/>
      </c>
      <c r="AL41" t="str">
        <f t="shared" si="20"/>
        <v/>
      </c>
      <c r="AM41" t="str">
        <f t="shared" si="20"/>
        <v/>
      </c>
      <c r="AN41" t="str">
        <f t="shared" si="20"/>
        <v/>
      </c>
      <c r="AO41" t="str">
        <f t="shared" si="20"/>
        <v/>
      </c>
      <c r="AP41" t="str">
        <f t="shared" si="20"/>
        <v/>
      </c>
      <c r="AQ41" t="str">
        <f t="shared" si="20"/>
        <v/>
      </c>
      <c r="AR41" t="str">
        <f t="shared" si="20"/>
        <v/>
      </c>
      <c r="AS41" t="str">
        <f t="shared" si="20"/>
        <v/>
      </c>
      <c r="AT41" t="str">
        <f t="shared" ref="AT41:BC50" si="21">IF(AND($E41&lt;&gt;"",$F41&lt;&gt;"",AT$9&gt;=$E41,AT$9&lt;=$F41),"■","")</f>
        <v/>
      </c>
      <c r="AU41" t="str">
        <f t="shared" si="21"/>
        <v/>
      </c>
      <c r="AV41" t="str">
        <f t="shared" si="21"/>
        <v/>
      </c>
      <c r="AW41" t="str">
        <f t="shared" si="21"/>
        <v/>
      </c>
      <c r="AX41" t="str">
        <f t="shared" si="21"/>
        <v/>
      </c>
      <c r="AY41" t="str">
        <f t="shared" si="21"/>
        <v/>
      </c>
      <c r="AZ41" t="str">
        <f t="shared" si="21"/>
        <v/>
      </c>
      <c r="BA41" t="str">
        <f t="shared" si="21"/>
        <v/>
      </c>
      <c r="BB41" t="str">
        <f t="shared" si="21"/>
        <v/>
      </c>
      <c r="BC41" t="str">
        <f t="shared" si="21"/>
        <v/>
      </c>
      <c r="BD41" t="str">
        <f t="shared" ref="BD41:BM50" si="22">IF(AND($E41&lt;&gt;"",$F41&lt;&gt;"",BD$9&gt;=$E41,BD$9&lt;=$F41),"■","")</f>
        <v/>
      </c>
      <c r="BE41" t="str">
        <f t="shared" si="22"/>
        <v/>
      </c>
      <c r="BF41" t="str">
        <f t="shared" si="22"/>
        <v/>
      </c>
      <c r="BG41" t="str">
        <f t="shared" si="22"/>
        <v/>
      </c>
      <c r="BH41" t="str">
        <f t="shared" si="22"/>
        <v/>
      </c>
      <c r="BI41" t="str">
        <f t="shared" si="22"/>
        <v/>
      </c>
      <c r="BJ41" t="str">
        <f t="shared" si="22"/>
        <v/>
      </c>
      <c r="BK41" t="str">
        <f t="shared" si="22"/>
        <v/>
      </c>
      <c r="BL41" t="str">
        <f t="shared" si="22"/>
        <v/>
      </c>
      <c r="BM41" t="str">
        <f t="shared" si="22"/>
        <v/>
      </c>
      <c r="BN41" t="str">
        <f t="shared" ref="BN41:BW50" si="23">IF(AND($E41&lt;&gt;"",$F41&lt;&gt;"",BN$9&gt;=$E41,BN$9&lt;=$F41),"■","")</f>
        <v/>
      </c>
      <c r="BO41" t="str">
        <f t="shared" si="23"/>
        <v/>
      </c>
      <c r="BP41" t="str">
        <f t="shared" si="23"/>
        <v/>
      </c>
      <c r="BQ41" t="str">
        <f t="shared" si="23"/>
        <v/>
      </c>
      <c r="BR41" t="str">
        <f t="shared" si="23"/>
        <v/>
      </c>
      <c r="BS41" t="str">
        <f t="shared" si="23"/>
        <v/>
      </c>
      <c r="BT41" t="str">
        <f t="shared" si="23"/>
        <v/>
      </c>
      <c r="BU41" t="str">
        <f t="shared" si="23"/>
        <v/>
      </c>
      <c r="BV41" t="str">
        <f t="shared" si="23"/>
        <v/>
      </c>
      <c r="BW41" t="str">
        <f t="shared" si="23"/>
        <v/>
      </c>
    </row>
    <row r="42" spans="1:75" x14ac:dyDescent="0.25">
      <c r="A42" t="s">
        <v>140</v>
      </c>
      <c r="J42">
        <f>SUMIFS('Suivi Temps'!$D:$D,'Suivi Temps'!$A:$A,"P002-032")</f>
        <v>0</v>
      </c>
      <c r="P42" t="str">
        <f t="shared" si="18"/>
        <v/>
      </c>
      <c r="Q42" t="str">
        <f t="shared" si="18"/>
        <v/>
      </c>
      <c r="R42" t="str">
        <f t="shared" si="18"/>
        <v/>
      </c>
      <c r="S42" t="str">
        <f t="shared" si="18"/>
        <v/>
      </c>
      <c r="T42" t="str">
        <f t="shared" si="18"/>
        <v/>
      </c>
      <c r="U42" t="str">
        <f t="shared" si="18"/>
        <v/>
      </c>
      <c r="V42" t="str">
        <f t="shared" si="18"/>
        <v/>
      </c>
      <c r="W42" t="str">
        <f t="shared" si="18"/>
        <v/>
      </c>
      <c r="X42" t="str">
        <f t="shared" si="18"/>
        <v/>
      </c>
      <c r="Y42" t="str">
        <f t="shared" si="18"/>
        <v/>
      </c>
      <c r="Z42" t="str">
        <f t="shared" si="19"/>
        <v/>
      </c>
      <c r="AA42" t="str">
        <f t="shared" si="19"/>
        <v/>
      </c>
      <c r="AB42" t="str">
        <f t="shared" si="19"/>
        <v/>
      </c>
      <c r="AC42" t="str">
        <f t="shared" si="19"/>
        <v/>
      </c>
      <c r="AD42" t="str">
        <f t="shared" si="19"/>
        <v/>
      </c>
      <c r="AE42" t="str">
        <f t="shared" si="19"/>
        <v/>
      </c>
      <c r="AF42" t="str">
        <f t="shared" si="19"/>
        <v/>
      </c>
      <c r="AG42" t="str">
        <f t="shared" si="19"/>
        <v/>
      </c>
      <c r="AH42" t="str">
        <f t="shared" si="19"/>
        <v/>
      </c>
      <c r="AI42" t="str">
        <f t="shared" si="19"/>
        <v/>
      </c>
      <c r="AJ42" t="str">
        <f t="shared" si="20"/>
        <v/>
      </c>
      <c r="AK42" t="str">
        <f t="shared" si="20"/>
        <v/>
      </c>
      <c r="AL42" t="str">
        <f t="shared" si="20"/>
        <v/>
      </c>
      <c r="AM42" t="str">
        <f t="shared" si="20"/>
        <v/>
      </c>
      <c r="AN42" t="str">
        <f t="shared" si="20"/>
        <v/>
      </c>
      <c r="AO42" t="str">
        <f t="shared" si="20"/>
        <v/>
      </c>
      <c r="AP42" t="str">
        <f t="shared" si="20"/>
        <v/>
      </c>
      <c r="AQ42" t="str">
        <f t="shared" si="20"/>
        <v/>
      </c>
      <c r="AR42" t="str">
        <f t="shared" si="20"/>
        <v/>
      </c>
      <c r="AS42" t="str">
        <f t="shared" si="20"/>
        <v/>
      </c>
      <c r="AT42" t="str">
        <f t="shared" si="21"/>
        <v/>
      </c>
      <c r="AU42" t="str">
        <f t="shared" si="21"/>
        <v/>
      </c>
      <c r="AV42" t="str">
        <f t="shared" si="21"/>
        <v/>
      </c>
      <c r="AW42" t="str">
        <f t="shared" si="21"/>
        <v/>
      </c>
      <c r="AX42" t="str">
        <f t="shared" si="21"/>
        <v/>
      </c>
      <c r="AY42" t="str">
        <f t="shared" si="21"/>
        <v/>
      </c>
      <c r="AZ42" t="str">
        <f t="shared" si="21"/>
        <v/>
      </c>
      <c r="BA42" t="str">
        <f t="shared" si="21"/>
        <v/>
      </c>
      <c r="BB42" t="str">
        <f t="shared" si="21"/>
        <v/>
      </c>
      <c r="BC42" t="str">
        <f t="shared" si="21"/>
        <v/>
      </c>
      <c r="BD42" t="str">
        <f t="shared" si="22"/>
        <v/>
      </c>
      <c r="BE42" t="str">
        <f t="shared" si="22"/>
        <v/>
      </c>
      <c r="BF42" t="str">
        <f t="shared" si="22"/>
        <v/>
      </c>
      <c r="BG42" t="str">
        <f t="shared" si="22"/>
        <v/>
      </c>
      <c r="BH42" t="str">
        <f t="shared" si="22"/>
        <v/>
      </c>
      <c r="BI42" t="str">
        <f t="shared" si="22"/>
        <v/>
      </c>
      <c r="BJ42" t="str">
        <f t="shared" si="22"/>
        <v/>
      </c>
      <c r="BK42" t="str">
        <f t="shared" si="22"/>
        <v/>
      </c>
      <c r="BL42" t="str">
        <f t="shared" si="22"/>
        <v/>
      </c>
      <c r="BM42" t="str">
        <f t="shared" si="22"/>
        <v/>
      </c>
      <c r="BN42" t="str">
        <f t="shared" si="23"/>
        <v/>
      </c>
      <c r="BO42" t="str">
        <f t="shared" si="23"/>
        <v/>
      </c>
      <c r="BP42" t="str">
        <f t="shared" si="23"/>
        <v/>
      </c>
      <c r="BQ42" t="str">
        <f t="shared" si="23"/>
        <v/>
      </c>
      <c r="BR42" t="str">
        <f t="shared" si="23"/>
        <v/>
      </c>
      <c r="BS42" t="str">
        <f t="shared" si="23"/>
        <v/>
      </c>
      <c r="BT42" t="str">
        <f t="shared" si="23"/>
        <v/>
      </c>
      <c r="BU42" t="str">
        <f t="shared" si="23"/>
        <v/>
      </c>
      <c r="BV42" t="str">
        <f t="shared" si="23"/>
        <v/>
      </c>
      <c r="BW42" t="str">
        <f t="shared" si="23"/>
        <v/>
      </c>
    </row>
    <row r="43" spans="1:75" x14ac:dyDescent="0.25">
      <c r="A43" t="s">
        <v>141</v>
      </c>
      <c r="J43">
        <f>SUMIFS('Suivi Temps'!$D:$D,'Suivi Temps'!$A:$A,"P002-033")</f>
        <v>0</v>
      </c>
      <c r="P43" t="str">
        <f t="shared" si="18"/>
        <v/>
      </c>
      <c r="Q43" t="str">
        <f t="shared" si="18"/>
        <v/>
      </c>
      <c r="R43" t="str">
        <f t="shared" si="18"/>
        <v/>
      </c>
      <c r="S43" t="str">
        <f t="shared" si="18"/>
        <v/>
      </c>
      <c r="T43" t="str">
        <f t="shared" si="18"/>
        <v/>
      </c>
      <c r="U43" t="str">
        <f t="shared" si="18"/>
        <v/>
      </c>
      <c r="V43" t="str">
        <f t="shared" si="18"/>
        <v/>
      </c>
      <c r="W43" t="str">
        <f t="shared" si="18"/>
        <v/>
      </c>
      <c r="X43" t="str">
        <f t="shared" si="18"/>
        <v/>
      </c>
      <c r="Y43" t="str">
        <f t="shared" si="18"/>
        <v/>
      </c>
      <c r="Z43" t="str">
        <f t="shared" si="19"/>
        <v/>
      </c>
      <c r="AA43" t="str">
        <f t="shared" si="19"/>
        <v/>
      </c>
      <c r="AB43" t="str">
        <f t="shared" si="19"/>
        <v/>
      </c>
      <c r="AC43" t="str">
        <f t="shared" si="19"/>
        <v/>
      </c>
      <c r="AD43" t="str">
        <f t="shared" si="19"/>
        <v/>
      </c>
      <c r="AE43" t="str">
        <f t="shared" si="19"/>
        <v/>
      </c>
      <c r="AF43" t="str">
        <f t="shared" si="19"/>
        <v/>
      </c>
      <c r="AG43" t="str">
        <f t="shared" si="19"/>
        <v/>
      </c>
      <c r="AH43" t="str">
        <f t="shared" si="19"/>
        <v/>
      </c>
      <c r="AI43" t="str">
        <f t="shared" si="19"/>
        <v/>
      </c>
      <c r="AJ43" t="str">
        <f t="shared" si="20"/>
        <v/>
      </c>
      <c r="AK43" t="str">
        <f t="shared" si="20"/>
        <v/>
      </c>
      <c r="AL43" t="str">
        <f t="shared" si="20"/>
        <v/>
      </c>
      <c r="AM43" t="str">
        <f t="shared" si="20"/>
        <v/>
      </c>
      <c r="AN43" t="str">
        <f t="shared" si="20"/>
        <v/>
      </c>
      <c r="AO43" t="str">
        <f t="shared" si="20"/>
        <v/>
      </c>
      <c r="AP43" t="str">
        <f t="shared" si="20"/>
        <v/>
      </c>
      <c r="AQ43" t="str">
        <f t="shared" si="20"/>
        <v/>
      </c>
      <c r="AR43" t="str">
        <f t="shared" si="20"/>
        <v/>
      </c>
      <c r="AS43" t="str">
        <f t="shared" si="20"/>
        <v/>
      </c>
      <c r="AT43" t="str">
        <f t="shared" si="21"/>
        <v/>
      </c>
      <c r="AU43" t="str">
        <f t="shared" si="21"/>
        <v/>
      </c>
      <c r="AV43" t="str">
        <f t="shared" si="21"/>
        <v/>
      </c>
      <c r="AW43" t="str">
        <f t="shared" si="21"/>
        <v/>
      </c>
      <c r="AX43" t="str">
        <f t="shared" si="21"/>
        <v/>
      </c>
      <c r="AY43" t="str">
        <f t="shared" si="21"/>
        <v/>
      </c>
      <c r="AZ43" t="str">
        <f t="shared" si="21"/>
        <v/>
      </c>
      <c r="BA43" t="str">
        <f t="shared" si="21"/>
        <v/>
      </c>
      <c r="BB43" t="str">
        <f t="shared" si="21"/>
        <v/>
      </c>
      <c r="BC43" t="str">
        <f t="shared" si="21"/>
        <v/>
      </c>
      <c r="BD43" t="str">
        <f t="shared" si="22"/>
        <v/>
      </c>
      <c r="BE43" t="str">
        <f t="shared" si="22"/>
        <v/>
      </c>
      <c r="BF43" t="str">
        <f t="shared" si="22"/>
        <v/>
      </c>
      <c r="BG43" t="str">
        <f t="shared" si="22"/>
        <v/>
      </c>
      <c r="BH43" t="str">
        <f t="shared" si="22"/>
        <v/>
      </c>
      <c r="BI43" t="str">
        <f t="shared" si="22"/>
        <v/>
      </c>
      <c r="BJ43" t="str">
        <f t="shared" si="22"/>
        <v/>
      </c>
      <c r="BK43" t="str">
        <f t="shared" si="22"/>
        <v/>
      </c>
      <c r="BL43" t="str">
        <f t="shared" si="22"/>
        <v/>
      </c>
      <c r="BM43" t="str">
        <f t="shared" si="22"/>
        <v/>
      </c>
      <c r="BN43" t="str">
        <f t="shared" si="23"/>
        <v/>
      </c>
      <c r="BO43" t="str">
        <f t="shared" si="23"/>
        <v/>
      </c>
      <c r="BP43" t="str">
        <f t="shared" si="23"/>
        <v/>
      </c>
      <c r="BQ43" t="str">
        <f t="shared" si="23"/>
        <v/>
      </c>
      <c r="BR43" t="str">
        <f t="shared" si="23"/>
        <v/>
      </c>
      <c r="BS43" t="str">
        <f t="shared" si="23"/>
        <v/>
      </c>
      <c r="BT43" t="str">
        <f t="shared" si="23"/>
        <v/>
      </c>
      <c r="BU43" t="str">
        <f t="shared" si="23"/>
        <v/>
      </c>
      <c r="BV43" t="str">
        <f t="shared" si="23"/>
        <v/>
      </c>
      <c r="BW43" t="str">
        <f t="shared" si="23"/>
        <v/>
      </c>
    </row>
    <row r="44" spans="1:75" x14ac:dyDescent="0.25">
      <c r="A44" t="s">
        <v>142</v>
      </c>
      <c r="J44">
        <f>SUMIFS('Suivi Temps'!$D:$D,'Suivi Temps'!$A:$A,"P002-034")</f>
        <v>0</v>
      </c>
      <c r="P44" t="str">
        <f t="shared" si="18"/>
        <v/>
      </c>
      <c r="Q44" t="str">
        <f t="shared" si="18"/>
        <v/>
      </c>
      <c r="R44" t="str">
        <f t="shared" si="18"/>
        <v/>
      </c>
      <c r="S44" t="str">
        <f t="shared" si="18"/>
        <v/>
      </c>
      <c r="T44" t="str">
        <f t="shared" si="18"/>
        <v/>
      </c>
      <c r="U44" t="str">
        <f t="shared" si="18"/>
        <v/>
      </c>
      <c r="V44" t="str">
        <f t="shared" si="18"/>
        <v/>
      </c>
      <c r="W44" t="str">
        <f t="shared" si="18"/>
        <v/>
      </c>
      <c r="X44" t="str">
        <f t="shared" si="18"/>
        <v/>
      </c>
      <c r="Y44" t="str">
        <f t="shared" si="18"/>
        <v/>
      </c>
      <c r="Z44" t="str">
        <f t="shared" si="19"/>
        <v/>
      </c>
      <c r="AA44" t="str">
        <f t="shared" si="19"/>
        <v/>
      </c>
      <c r="AB44" t="str">
        <f t="shared" si="19"/>
        <v/>
      </c>
      <c r="AC44" t="str">
        <f t="shared" si="19"/>
        <v/>
      </c>
      <c r="AD44" t="str">
        <f t="shared" si="19"/>
        <v/>
      </c>
      <c r="AE44" t="str">
        <f t="shared" si="19"/>
        <v/>
      </c>
      <c r="AF44" t="str">
        <f t="shared" si="19"/>
        <v/>
      </c>
      <c r="AG44" t="str">
        <f t="shared" si="19"/>
        <v/>
      </c>
      <c r="AH44" t="str">
        <f t="shared" si="19"/>
        <v/>
      </c>
      <c r="AI44" t="str">
        <f t="shared" si="19"/>
        <v/>
      </c>
      <c r="AJ44" t="str">
        <f t="shared" si="20"/>
        <v/>
      </c>
      <c r="AK44" t="str">
        <f t="shared" si="20"/>
        <v/>
      </c>
      <c r="AL44" t="str">
        <f t="shared" si="20"/>
        <v/>
      </c>
      <c r="AM44" t="str">
        <f t="shared" si="20"/>
        <v/>
      </c>
      <c r="AN44" t="str">
        <f t="shared" si="20"/>
        <v/>
      </c>
      <c r="AO44" t="str">
        <f t="shared" si="20"/>
        <v/>
      </c>
      <c r="AP44" t="str">
        <f t="shared" si="20"/>
        <v/>
      </c>
      <c r="AQ44" t="str">
        <f t="shared" si="20"/>
        <v/>
      </c>
      <c r="AR44" t="str">
        <f t="shared" si="20"/>
        <v/>
      </c>
      <c r="AS44" t="str">
        <f t="shared" si="20"/>
        <v/>
      </c>
      <c r="AT44" t="str">
        <f t="shared" si="21"/>
        <v/>
      </c>
      <c r="AU44" t="str">
        <f t="shared" si="21"/>
        <v/>
      </c>
      <c r="AV44" t="str">
        <f t="shared" si="21"/>
        <v/>
      </c>
      <c r="AW44" t="str">
        <f t="shared" si="21"/>
        <v/>
      </c>
      <c r="AX44" t="str">
        <f t="shared" si="21"/>
        <v/>
      </c>
      <c r="AY44" t="str">
        <f t="shared" si="21"/>
        <v/>
      </c>
      <c r="AZ44" t="str">
        <f t="shared" si="21"/>
        <v/>
      </c>
      <c r="BA44" t="str">
        <f t="shared" si="21"/>
        <v/>
      </c>
      <c r="BB44" t="str">
        <f t="shared" si="21"/>
        <v/>
      </c>
      <c r="BC44" t="str">
        <f t="shared" si="21"/>
        <v/>
      </c>
      <c r="BD44" t="str">
        <f t="shared" si="22"/>
        <v/>
      </c>
      <c r="BE44" t="str">
        <f t="shared" si="22"/>
        <v/>
      </c>
      <c r="BF44" t="str">
        <f t="shared" si="22"/>
        <v/>
      </c>
      <c r="BG44" t="str">
        <f t="shared" si="22"/>
        <v/>
      </c>
      <c r="BH44" t="str">
        <f t="shared" si="22"/>
        <v/>
      </c>
      <c r="BI44" t="str">
        <f t="shared" si="22"/>
        <v/>
      </c>
      <c r="BJ44" t="str">
        <f t="shared" si="22"/>
        <v/>
      </c>
      <c r="BK44" t="str">
        <f t="shared" si="22"/>
        <v/>
      </c>
      <c r="BL44" t="str">
        <f t="shared" si="22"/>
        <v/>
      </c>
      <c r="BM44" t="str">
        <f t="shared" si="22"/>
        <v/>
      </c>
      <c r="BN44" t="str">
        <f t="shared" si="23"/>
        <v/>
      </c>
      <c r="BO44" t="str">
        <f t="shared" si="23"/>
        <v/>
      </c>
      <c r="BP44" t="str">
        <f t="shared" si="23"/>
        <v/>
      </c>
      <c r="BQ44" t="str">
        <f t="shared" si="23"/>
        <v/>
      </c>
      <c r="BR44" t="str">
        <f t="shared" si="23"/>
        <v/>
      </c>
      <c r="BS44" t="str">
        <f t="shared" si="23"/>
        <v/>
      </c>
      <c r="BT44" t="str">
        <f t="shared" si="23"/>
        <v/>
      </c>
      <c r="BU44" t="str">
        <f t="shared" si="23"/>
        <v/>
      </c>
      <c r="BV44" t="str">
        <f t="shared" si="23"/>
        <v/>
      </c>
      <c r="BW44" t="str">
        <f t="shared" si="23"/>
        <v/>
      </c>
    </row>
    <row r="45" spans="1:75" x14ac:dyDescent="0.25">
      <c r="A45" t="s">
        <v>143</v>
      </c>
      <c r="J45">
        <f>SUMIFS('Suivi Temps'!$D:$D,'Suivi Temps'!$A:$A,"P002-035")</f>
        <v>0</v>
      </c>
      <c r="P45" t="str">
        <f t="shared" si="18"/>
        <v/>
      </c>
      <c r="Q45" t="str">
        <f t="shared" si="18"/>
        <v/>
      </c>
      <c r="R45" t="str">
        <f t="shared" si="18"/>
        <v/>
      </c>
      <c r="S45" t="str">
        <f t="shared" si="18"/>
        <v/>
      </c>
      <c r="T45" t="str">
        <f t="shared" si="18"/>
        <v/>
      </c>
      <c r="U45" t="str">
        <f t="shared" si="18"/>
        <v/>
      </c>
      <c r="V45" t="str">
        <f t="shared" si="18"/>
        <v/>
      </c>
      <c r="W45" t="str">
        <f t="shared" si="18"/>
        <v/>
      </c>
      <c r="X45" t="str">
        <f t="shared" si="18"/>
        <v/>
      </c>
      <c r="Y45" t="str">
        <f t="shared" si="18"/>
        <v/>
      </c>
      <c r="Z45" t="str">
        <f t="shared" si="19"/>
        <v/>
      </c>
      <c r="AA45" t="str">
        <f t="shared" si="19"/>
        <v/>
      </c>
      <c r="AB45" t="str">
        <f t="shared" si="19"/>
        <v/>
      </c>
      <c r="AC45" t="str">
        <f t="shared" si="19"/>
        <v/>
      </c>
      <c r="AD45" t="str">
        <f t="shared" si="19"/>
        <v/>
      </c>
      <c r="AE45" t="str">
        <f t="shared" si="19"/>
        <v/>
      </c>
      <c r="AF45" t="str">
        <f t="shared" si="19"/>
        <v/>
      </c>
      <c r="AG45" t="str">
        <f t="shared" si="19"/>
        <v/>
      </c>
      <c r="AH45" t="str">
        <f t="shared" si="19"/>
        <v/>
      </c>
      <c r="AI45" t="str">
        <f t="shared" si="19"/>
        <v/>
      </c>
      <c r="AJ45" t="str">
        <f t="shared" si="20"/>
        <v/>
      </c>
      <c r="AK45" t="str">
        <f t="shared" si="20"/>
        <v/>
      </c>
      <c r="AL45" t="str">
        <f t="shared" si="20"/>
        <v/>
      </c>
      <c r="AM45" t="str">
        <f t="shared" si="20"/>
        <v/>
      </c>
      <c r="AN45" t="str">
        <f t="shared" si="20"/>
        <v/>
      </c>
      <c r="AO45" t="str">
        <f t="shared" si="20"/>
        <v/>
      </c>
      <c r="AP45" t="str">
        <f t="shared" si="20"/>
        <v/>
      </c>
      <c r="AQ45" t="str">
        <f t="shared" si="20"/>
        <v/>
      </c>
      <c r="AR45" t="str">
        <f t="shared" si="20"/>
        <v/>
      </c>
      <c r="AS45" t="str">
        <f t="shared" si="20"/>
        <v/>
      </c>
      <c r="AT45" t="str">
        <f t="shared" si="21"/>
        <v/>
      </c>
      <c r="AU45" t="str">
        <f t="shared" si="21"/>
        <v/>
      </c>
      <c r="AV45" t="str">
        <f t="shared" si="21"/>
        <v/>
      </c>
      <c r="AW45" t="str">
        <f t="shared" si="21"/>
        <v/>
      </c>
      <c r="AX45" t="str">
        <f t="shared" si="21"/>
        <v/>
      </c>
      <c r="AY45" t="str">
        <f t="shared" si="21"/>
        <v/>
      </c>
      <c r="AZ45" t="str">
        <f t="shared" si="21"/>
        <v/>
      </c>
      <c r="BA45" t="str">
        <f t="shared" si="21"/>
        <v/>
      </c>
      <c r="BB45" t="str">
        <f t="shared" si="21"/>
        <v/>
      </c>
      <c r="BC45" t="str">
        <f t="shared" si="21"/>
        <v/>
      </c>
      <c r="BD45" t="str">
        <f t="shared" si="22"/>
        <v/>
      </c>
      <c r="BE45" t="str">
        <f t="shared" si="22"/>
        <v/>
      </c>
      <c r="BF45" t="str">
        <f t="shared" si="22"/>
        <v/>
      </c>
      <c r="BG45" t="str">
        <f t="shared" si="22"/>
        <v/>
      </c>
      <c r="BH45" t="str">
        <f t="shared" si="22"/>
        <v/>
      </c>
      <c r="BI45" t="str">
        <f t="shared" si="22"/>
        <v/>
      </c>
      <c r="BJ45" t="str">
        <f t="shared" si="22"/>
        <v/>
      </c>
      <c r="BK45" t="str">
        <f t="shared" si="22"/>
        <v/>
      </c>
      <c r="BL45" t="str">
        <f t="shared" si="22"/>
        <v/>
      </c>
      <c r="BM45" t="str">
        <f t="shared" si="22"/>
        <v/>
      </c>
      <c r="BN45" t="str">
        <f t="shared" si="23"/>
        <v/>
      </c>
      <c r="BO45" t="str">
        <f t="shared" si="23"/>
        <v/>
      </c>
      <c r="BP45" t="str">
        <f t="shared" si="23"/>
        <v/>
      </c>
      <c r="BQ45" t="str">
        <f t="shared" si="23"/>
        <v/>
      </c>
      <c r="BR45" t="str">
        <f t="shared" si="23"/>
        <v/>
      </c>
      <c r="BS45" t="str">
        <f t="shared" si="23"/>
        <v/>
      </c>
      <c r="BT45" t="str">
        <f t="shared" si="23"/>
        <v/>
      </c>
      <c r="BU45" t="str">
        <f t="shared" si="23"/>
        <v/>
      </c>
      <c r="BV45" t="str">
        <f t="shared" si="23"/>
        <v/>
      </c>
      <c r="BW45" t="str">
        <f t="shared" si="23"/>
        <v/>
      </c>
    </row>
    <row r="46" spans="1:75" x14ac:dyDescent="0.25">
      <c r="A46" t="s">
        <v>144</v>
      </c>
      <c r="J46">
        <f>SUMIFS('Suivi Temps'!$D:$D,'Suivi Temps'!$A:$A,"P002-036")</f>
        <v>0</v>
      </c>
      <c r="P46" t="str">
        <f t="shared" si="18"/>
        <v/>
      </c>
      <c r="Q46" t="str">
        <f t="shared" si="18"/>
        <v/>
      </c>
      <c r="R46" t="str">
        <f t="shared" si="18"/>
        <v/>
      </c>
      <c r="S46" t="str">
        <f t="shared" si="18"/>
        <v/>
      </c>
      <c r="T46" t="str">
        <f t="shared" si="18"/>
        <v/>
      </c>
      <c r="U46" t="str">
        <f t="shared" si="18"/>
        <v/>
      </c>
      <c r="V46" t="str">
        <f t="shared" si="18"/>
        <v/>
      </c>
      <c r="W46" t="str">
        <f t="shared" si="18"/>
        <v/>
      </c>
      <c r="X46" t="str">
        <f t="shared" si="18"/>
        <v/>
      </c>
      <c r="Y46" t="str">
        <f t="shared" si="18"/>
        <v/>
      </c>
      <c r="Z46" t="str">
        <f t="shared" si="19"/>
        <v/>
      </c>
      <c r="AA46" t="str">
        <f t="shared" si="19"/>
        <v/>
      </c>
      <c r="AB46" t="str">
        <f t="shared" si="19"/>
        <v/>
      </c>
      <c r="AC46" t="str">
        <f t="shared" si="19"/>
        <v/>
      </c>
      <c r="AD46" t="str">
        <f t="shared" si="19"/>
        <v/>
      </c>
      <c r="AE46" t="str">
        <f t="shared" si="19"/>
        <v/>
      </c>
      <c r="AF46" t="str">
        <f t="shared" si="19"/>
        <v/>
      </c>
      <c r="AG46" t="str">
        <f t="shared" si="19"/>
        <v/>
      </c>
      <c r="AH46" t="str">
        <f t="shared" si="19"/>
        <v/>
      </c>
      <c r="AI46" t="str">
        <f t="shared" si="19"/>
        <v/>
      </c>
      <c r="AJ46" t="str">
        <f t="shared" si="20"/>
        <v/>
      </c>
      <c r="AK46" t="str">
        <f t="shared" si="20"/>
        <v/>
      </c>
      <c r="AL46" t="str">
        <f t="shared" si="20"/>
        <v/>
      </c>
      <c r="AM46" t="str">
        <f t="shared" si="20"/>
        <v/>
      </c>
      <c r="AN46" t="str">
        <f t="shared" si="20"/>
        <v/>
      </c>
      <c r="AO46" t="str">
        <f t="shared" si="20"/>
        <v/>
      </c>
      <c r="AP46" t="str">
        <f t="shared" si="20"/>
        <v/>
      </c>
      <c r="AQ46" t="str">
        <f t="shared" si="20"/>
        <v/>
      </c>
      <c r="AR46" t="str">
        <f t="shared" si="20"/>
        <v/>
      </c>
      <c r="AS46" t="str">
        <f t="shared" si="20"/>
        <v/>
      </c>
      <c r="AT46" t="str">
        <f t="shared" si="21"/>
        <v/>
      </c>
      <c r="AU46" t="str">
        <f t="shared" si="21"/>
        <v/>
      </c>
      <c r="AV46" t="str">
        <f t="shared" si="21"/>
        <v/>
      </c>
      <c r="AW46" t="str">
        <f t="shared" si="21"/>
        <v/>
      </c>
      <c r="AX46" t="str">
        <f t="shared" si="21"/>
        <v/>
      </c>
      <c r="AY46" t="str">
        <f t="shared" si="21"/>
        <v/>
      </c>
      <c r="AZ46" t="str">
        <f t="shared" si="21"/>
        <v/>
      </c>
      <c r="BA46" t="str">
        <f t="shared" si="21"/>
        <v/>
      </c>
      <c r="BB46" t="str">
        <f t="shared" si="21"/>
        <v/>
      </c>
      <c r="BC46" t="str">
        <f t="shared" si="21"/>
        <v/>
      </c>
      <c r="BD46" t="str">
        <f t="shared" si="22"/>
        <v/>
      </c>
      <c r="BE46" t="str">
        <f t="shared" si="22"/>
        <v/>
      </c>
      <c r="BF46" t="str">
        <f t="shared" si="22"/>
        <v/>
      </c>
      <c r="BG46" t="str">
        <f t="shared" si="22"/>
        <v/>
      </c>
      <c r="BH46" t="str">
        <f t="shared" si="22"/>
        <v/>
      </c>
      <c r="BI46" t="str">
        <f t="shared" si="22"/>
        <v/>
      </c>
      <c r="BJ46" t="str">
        <f t="shared" si="22"/>
        <v/>
      </c>
      <c r="BK46" t="str">
        <f t="shared" si="22"/>
        <v/>
      </c>
      <c r="BL46" t="str">
        <f t="shared" si="22"/>
        <v/>
      </c>
      <c r="BM46" t="str">
        <f t="shared" si="22"/>
        <v/>
      </c>
      <c r="BN46" t="str">
        <f t="shared" si="23"/>
        <v/>
      </c>
      <c r="BO46" t="str">
        <f t="shared" si="23"/>
        <v/>
      </c>
      <c r="BP46" t="str">
        <f t="shared" si="23"/>
        <v/>
      </c>
      <c r="BQ46" t="str">
        <f t="shared" si="23"/>
        <v/>
      </c>
      <c r="BR46" t="str">
        <f t="shared" si="23"/>
        <v/>
      </c>
      <c r="BS46" t="str">
        <f t="shared" si="23"/>
        <v/>
      </c>
      <c r="BT46" t="str">
        <f t="shared" si="23"/>
        <v/>
      </c>
      <c r="BU46" t="str">
        <f t="shared" si="23"/>
        <v/>
      </c>
      <c r="BV46" t="str">
        <f t="shared" si="23"/>
        <v/>
      </c>
      <c r="BW46" t="str">
        <f t="shared" si="23"/>
        <v/>
      </c>
    </row>
    <row r="47" spans="1:75" x14ac:dyDescent="0.25">
      <c r="A47" t="s">
        <v>145</v>
      </c>
      <c r="J47">
        <f>SUMIFS('Suivi Temps'!$D:$D,'Suivi Temps'!$A:$A,"P002-037")</f>
        <v>0</v>
      </c>
      <c r="P47" t="str">
        <f t="shared" si="18"/>
        <v/>
      </c>
      <c r="Q47" t="str">
        <f t="shared" si="18"/>
        <v/>
      </c>
      <c r="R47" t="str">
        <f t="shared" si="18"/>
        <v/>
      </c>
      <c r="S47" t="str">
        <f t="shared" si="18"/>
        <v/>
      </c>
      <c r="T47" t="str">
        <f t="shared" si="18"/>
        <v/>
      </c>
      <c r="U47" t="str">
        <f t="shared" si="18"/>
        <v/>
      </c>
      <c r="V47" t="str">
        <f t="shared" si="18"/>
        <v/>
      </c>
      <c r="W47" t="str">
        <f t="shared" si="18"/>
        <v/>
      </c>
      <c r="X47" t="str">
        <f t="shared" si="18"/>
        <v/>
      </c>
      <c r="Y47" t="str">
        <f t="shared" si="18"/>
        <v/>
      </c>
      <c r="Z47" t="str">
        <f t="shared" si="19"/>
        <v/>
      </c>
      <c r="AA47" t="str">
        <f t="shared" si="19"/>
        <v/>
      </c>
      <c r="AB47" t="str">
        <f t="shared" si="19"/>
        <v/>
      </c>
      <c r="AC47" t="str">
        <f t="shared" si="19"/>
        <v/>
      </c>
      <c r="AD47" t="str">
        <f t="shared" si="19"/>
        <v/>
      </c>
      <c r="AE47" t="str">
        <f t="shared" si="19"/>
        <v/>
      </c>
      <c r="AF47" t="str">
        <f t="shared" si="19"/>
        <v/>
      </c>
      <c r="AG47" t="str">
        <f t="shared" si="19"/>
        <v/>
      </c>
      <c r="AH47" t="str">
        <f t="shared" si="19"/>
        <v/>
      </c>
      <c r="AI47" t="str">
        <f t="shared" si="19"/>
        <v/>
      </c>
      <c r="AJ47" t="str">
        <f t="shared" si="20"/>
        <v/>
      </c>
      <c r="AK47" t="str">
        <f t="shared" si="20"/>
        <v/>
      </c>
      <c r="AL47" t="str">
        <f t="shared" si="20"/>
        <v/>
      </c>
      <c r="AM47" t="str">
        <f t="shared" si="20"/>
        <v/>
      </c>
      <c r="AN47" t="str">
        <f t="shared" si="20"/>
        <v/>
      </c>
      <c r="AO47" t="str">
        <f t="shared" si="20"/>
        <v/>
      </c>
      <c r="AP47" t="str">
        <f t="shared" si="20"/>
        <v/>
      </c>
      <c r="AQ47" t="str">
        <f t="shared" si="20"/>
        <v/>
      </c>
      <c r="AR47" t="str">
        <f t="shared" si="20"/>
        <v/>
      </c>
      <c r="AS47" t="str">
        <f t="shared" si="20"/>
        <v/>
      </c>
      <c r="AT47" t="str">
        <f t="shared" si="21"/>
        <v/>
      </c>
      <c r="AU47" t="str">
        <f t="shared" si="21"/>
        <v/>
      </c>
      <c r="AV47" t="str">
        <f t="shared" si="21"/>
        <v/>
      </c>
      <c r="AW47" t="str">
        <f t="shared" si="21"/>
        <v/>
      </c>
      <c r="AX47" t="str">
        <f t="shared" si="21"/>
        <v/>
      </c>
      <c r="AY47" t="str">
        <f t="shared" si="21"/>
        <v/>
      </c>
      <c r="AZ47" t="str">
        <f t="shared" si="21"/>
        <v/>
      </c>
      <c r="BA47" t="str">
        <f t="shared" si="21"/>
        <v/>
      </c>
      <c r="BB47" t="str">
        <f t="shared" si="21"/>
        <v/>
      </c>
      <c r="BC47" t="str">
        <f t="shared" si="21"/>
        <v/>
      </c>
      <c r="BD47" t="str">
        <f t="shared" si="22"/>
        <v/>
      </c>
      <c r="BE47" t="str">
        <f t="shared" si="22"/>
        <v/>
      </c>
      <c r="BF47" t="str">
        <f t="shared" si="22"/>
        <v/>
      </c>
      <c r="BG47" t="str">
        <f t="shared" si="22"/>
        <v/>
      </c>
      <c r="BH47" t="str">
        <f t="shared" si="22"/>
        <v/>
      </c>
      <c r="BI47" t="str">
        <f t="shared" si="22"/>
        <v/>
      </c>
      <c r="BJ47" t="str">
        <f t="shared" si="22"/>
        <v/>
      </c>
      <c r="BK47" t="str">
        <f t="shared" si="22"/>
        <v/>
      </c>
      <c r="BL47" t="str">
        <f t="shared" si="22"/>
        <v/>
      </c>
      <c r="BM47" t="str">
        <f t="shared" si="22"/>
        <v/>
      </c>
      <c r="BN47" t="str">
        <f t="shared" si="23"/>
        <v/>
      </c>
      <c r="BO47" t="str">
        <f t="shared" si="23"/>
        <v/>
      </c>
      <c r="BP47" t="str">
        <f t="shared" si="23"/>
        <v/>
      </c>
      <c r="BQ47" t="str">
        <f t="shared" si="23"/>
        <v/>
      </c>
      <c r="BR47" t="str">
        <f t="shared" si="23"/>
        <v/>
      </c>
      <c r="BS47" t="str">
        <f t="shared" si="23"/>
        <v/>
      </c>
      <c r="BT47" t="str">
        <f t="shared" si="23"/>
        <v/>
      </c>
      <c r="BU47" t="str">
        <f t="shared" si="23"/>
        <v/>
      </c>
      <c r="BV47" t="str">
        <f t="shared" si="23"/>
        <v/>
      </c>
      <c r="BW47" t="str">
        <f t="shared" si="23"/>
        <v/>
      </c>
    </row>
    <row r="48" spans="1:75" x14ac:dyDescent="0.25">
      <c r="A48" t="s">
        <v>146</v>
      </c>
      <c r="J48">
        <f>SUMIFS('Suivi Temps'!$D:$D,'Suivi Temps'!$A:$A,"P002-038")</f>
        <v>0</v>
      </c>
      <c r="P48" t="str">
        <f t="shared" si="18"/>
        <v/>
      </c>
      <c r="Q48" t="str">
        <f t="shared" si="18"/>
        <v/>
      </c>
      <c r="R48" t="str">
        <f t="shared" si="18"/>
        <v/>
      </c>
      <c r="S48" t="str">
        <f t="shared" si="18"/>
        <v/>
      </c>
      <c r="T48" t="str">
        <f t="shared" si="18"/>
        <v/>
      </c>
      <c r="U48" t="str">
        <f t="shared" si="18"/>
        <v/>
      </c>
      <c r="V48" t="str">
        <f t="shared" si="18"/>
        <v/>
      </c>
      <c r="W48" t="str">
        <f t="shared" si="18"/>
        <v/>
      </c>
      <c r="X48" t="str">
        <f t="shared" si="18"/>
        <v/>
      </c>
      <c r="Y48" t="str">
        <f t="shared" si="18"/>
        <v/>
      </c>
      <c r="Z48" t="str">
        <f t="shared" si="19"/>
        <v/>
      </c>
      <c r="AA48" t="str">
        <f t="shared" si="19"/>
        <v/>
      </c>
      <c r="AB48" t="str">
        <f t="shared" si="19"/>
        <v/>
      </c>
      <c r="AC48" t="str">
        <f t="shared" si="19"/>
        <v/>
      </c>
      <c r="AD48" t="str">
        <f t="shared" si="19"/>
        <v/>
      </c>
      <c r="AE48" t="str">
        <f t="shared" si="19"/>
        <v/>
      </c>
      <c r="AF48" t="str">
        <f t="shared" si="19"/>
        <v/>
      </c>
      <c r="AG48" t="str">
        <f t="shared" si="19"/>
        <v/>
      </c>
      <c r="AH48" t="str">
        <f t="shared" si="19"/>
        <v/>
      </c>
      <c r="AI48" t="str">
        <f t="shared" si="19"/>
        <v/>
      </c>
      <c r="AJ48" t="str">
        <f t="shared" si="20"/>
        <v/>
      </c>
      <c r="AK48" t="str">
        <f t="shared" si="20"/>
        <v/>
      </c>
      <c r="AL48" t="str">
        <f t="shared" si="20"/>
        <v/>
      </c>
      <c r="AM48" t="str">
        <f t="shared" si="20"/>
        <v/>
      </c>
      <c r="AN48" t="str">
        <f t="shared" si="20"/>
        <v/>
      </c>
      <c r="AO48" t="str">
        <f t="shared" si="20"/>
        <v/>
      </c>
      <c r="AP48" t="str">
        <f t="shared" si="20"/>
        <v/>
      </c>
      <c r="AQ48" t="str">
        <f t="shared" si="20"/>
        <v/>
      </c>
      <c r="AR48" t="str">
        <f t="shared" si="20"/>
        <v/>
      </c>
      <c r="AS48" t="str">
        <f t="shared" si="20"/>
        <v/>
      </c>
      <c r="AT48" t="str">
        <f t="shared" si="21"/>
        <v/>
      </c>
      <c r="AU48" t="str">
        <f t="shared" si="21"/>
        <v/>
      </c>
      <c r="AV48" t="str">
        <f t="shared" si="21"/>
        <v/>
      </c>
      <c r="AW48" t="str">
        <f t="shared" si="21"/>
        <v/>
      </c>
      <c r="AX48" t="str">
        <f t="shared" si="21"/>
        <v/>
      </c>
      <c r="AY48" t="str">
        <f t="shared" si="21"/>
        <v/>
      </c>
      <c r="AZ48" t="str">
        <f t="shared" si="21"/>
        <v/>
      </c>
      <c r="BA48" t="str">
        <f t="shared" si="21"/>
        <v/>
      </c>
      <c r="BB48" t="str">
        <f t="shared" si="21"/>
        <v/>
      </c>
      <c r="BC48" t="str">
        <f t="shared" si="21"/>
        <v/>
      </c>
      <c r="BD48" t="str">
        <f t="shared" si="22"/>
        <v/>
      </c>
      <c r="BE48" t="str">
        <f t="shared" si="22"/>
        <v/>
      </c>
      <c r="BF48" t="str">
        <f t="shared" si="22"/>
        <v/>
      </c>
      <c r="BG48" t="str">
        <f t="shared" si="22"/>
        <v/>
      </c>
      <c r="BH48" t="str">
        <f t="shared" si="22"/>
        <v/>
      </c>
      <c r="BI48" t="str">
        <f t="shared" si="22"/>
        <v/>
      </c>
      <c r="BJ48" t="str">
        <f t="shared" si="22"/>
        <v/>
      </c>
      <c r="BK48" t="str">
        <f t="shared" si="22"/>
        <v/>
      </c>
      <c r="BL48" t="str">
        <f t="shared" si="22"/>
        <v/>
      </c>
      <c r="BM48" t="str">
        <f t="shared" si="22"/>
        <v/>
      </c>
      <c r="BN48" t="str">
        <f t="shared" si="23"/>
        <v/>
      </c>
      <c r="BO48" t="str">
        <f t="shared" si="23"/>
        <v/>
      </c>
      <c r="BP48" t="str">
        <f t="shared" si="23"/>
        <v/>
      </c>
      <c r="BQ48" t="str">
        <f t="shared" si="23"/>
        <v/>
      </c>
      <c r="BR48" t="str">
        <f t="shared" si="23"/>
        <v/>
      </c>
      <c r="BS48" t="str">
        <f t="shared" si="23"/>
        <v/>
      </c>
      <c r="BT48" t="str">
        <f t="shared" si="23"/>
        <v/>
      </c>
      <c r="BU48" t="str">
        <f t="shared" si="23"/>
        <v/>
      </c>
      <c r="BV48" t="str">
        <f t="shared" si="23"/>
        <v/>
      </c>
      <c r="BW48" t="str">
        <f t="shared" si="23"/>
        <v/>
      </c>
    </row>
    <row r="49" spans="1:75" x14ac:dyDescent="0.25">
      <c r="A49" t="s">
        <v>147</v>
      </c>
      <c r="J49">
        <f>SUMIFS('Suivi Temps'!$D:$D,'Suivi Temps'!$A:$A,"P002-039")</f>
        <v>0</v>
      </c>
      <c r="P49" t="str">
        <f t="shared" si="18"/>
        <v/>
      </c>
      <c r="Q49" t="str">
        <f t="shared" si="18"/>
        <v/>
      </c>
      <c r="R49" t="str">
        <f t="shared" si="18"/>
        <v/>
      </c>
      <c r="S49" t="str">
        <f t="shared" si="18"/>
        <v/>
      </c>
      <c r="T49" t="str">
        <f t="shared" si="18"/>
        <v/>
      </c>
      <c r="U49" t="str">
        <f t="shared" si="18"/>
        <v/>
      </c>
      <c r="V49" t="str">
        <f t="shared" si="18"/>
        <v/>
      </c>
      <c r="W49" t="str">
        <f t="shared" si="18"/>
        <v/>
      </c>
      <c r="X49" t="str">
        <f t="shared" si="18"/>
        <v/>
      </c>
      <c r="Y49" t="str">
        <f t="shared" si="18"/>
        <v/>
      </c>
      <c r="Z49" t="str">
        <f t="shared" si="19"/>
        <v/>
      </c>
      <c r="AA49" t="str">
        <f t="shared" si="19"/>
        <v/>
      </c>
      <c r="AB49" t="str">
        <f t="shared" si="19"/>
        <v/>
      </c>
      <c r="AC49" t="str">
        <f t="shared" si="19"/>
        <v/>
      </c>
      <c r="AD49" t="str">
        <f t="shared" si="19"/>
        <v/>
      </c>
      <c r="AE49" t="str">
        <f t="shared" si="19"/>
        <v/>
      </c>
      <c r="AF49" t="str">
        <f t="shared" si="19"/>
        <v/>
      </c>
      <c r="AG49" t="str">
        <f t="shared" si="19"/>
        <v/>
      </c>
      <c r="AH49" t="str">
        <f t="shared" si="19"/>
        <v/>
      </c>
      <c r="AI49" t="str">
        <f t="shared" si="19"/>
        <v/>
      </c>
      <c r="AJ49" t="str">
        <f t="shared" si="20"/>
        <v/>
      </c>
      <c r="AK49" t="str">
        <f t="shared" si="20"/>
        <v/>
      </c>
      <c r="AL49" t="str">
        <f t="shared" si="20"/>
        <v/>
      </c>
      <c r="AM49" t="str">
        <f t="shared" si="20"/>
        <v/>
      </c>
      <c r="AN49" t="str">
        <f t="shared" si="20"/>
        <v/>
      </c>
      <c r="AO49" t="str">
        <f t="shared" si="20"/>
        <v/>
      </c>
      <c r="AP49" t="str">
        <f t="shared" si="20"/>
        <v/>
      </c>
      <c r="AQ49" t="str">
        <f t="shared" si="20"/>
        <v/>
      </c>
      <c r="AR49" t="str">
        <f t="shared" si="20"/>
        <v/>
      </c>
      <c r="AS49" t="str">
        <f t="shared" si="20"/>
        <v/>
      </c>
      <c r="AT49" t="str">
        <f t="shared" si="21"/>
        <v/>
      </c>
      <c r="AU49" t="str">
        <f t="shared" si="21"/>
        <v/>
      </c>
      <c r="AV49" t="str">
        <f t="shared" si="21"/>
        <v/>
      </c>
      <c r="AW49" t="str">
        <f t="shared" si="21"/>
        <v/>
      </c>
      <c r="AX49" t="str">
        <f t="shared" si="21"/>
        <v/>
      </c>
      <c r="AY49" t="str">
        <f t="shared" si="21"/>
        <v/>
      </c>
      <c r="AZ49" t="str">
        <f t="shared" si="21"/>
        <v/>
      </c>
      <c r="BA49" t="str">
        <f t="shared" si="21"/>
        <v/>
      </c>
      <c r="BB49" t="str">
        <f t="shared" si="21"/>
        <v/>
      </c>
      <c r="BC49" t="str">
        <f t="shared" si="21"/>
        <v/>
      </c>
      <c r="BD49" t="str">
        <f t="shared" si="22"/>
        <v/>
      </c>
      <c r="BE49" t="str">
        <f t="shared" si="22"/>
        <v/>
      </c>
      <c r="BF49" t="str">
        <f t="shared" si="22"/>
        <v/>
      </c>
      <c r="BG49" t="str">
        <f t="shared" si="22"/>
        <v/>
      </c>
      <c r="BH49" t="str">
        <f t="shared" si="22"/>
        <v/>
      </c>
      <c r="BI49" t="str">
        <f t="shared" si="22"/>
        <v/>
      </c>
      <c r="BJ49" t="str">
        <f t="shared" si="22"/>
        <v/>
      </c>
      <c r="BK49" t="str">
        <f t="shared" si="22"/>
        <v/>
      </c>
      <c r="BL49" t="str">
        <f t="shared" si="22"/>
        <v/>
      </c>
      <c r="BM49" t="str">
        <f t="shared" si="22"/>
        <v/>
      </c>
      <c r="BN49" t="str">
        <f t="shared" si="23"/>
        <v/>
      </c>
      <c r="BO49" t="str">
        <f t="shared" si="23"/>
        <v/>
      </c>
      <c r="BP49" t="str">
        <f t="shared" si="23"/>
        <v/>
      </c>
      <c r="BQ49" t="str">
        <f t="shared" si="23"/>
        <v/>
      </c>
      <c r="BR49" t="str">
        <f t="shared" si="23"/>
        <v/>
      </c>
      <c r="BS49" t="str">
        <f t="shared" si="23"/>
        <v/>
      </c>
      <c r="BT49" t="str">
        <f t="shared" si="23"/>
        <v/>
      </c>
      <c r="BU49" t="str">
        <f t="shared" si="23"/>
        <v/>
      </c>
      <c r="BV49" t="str">
        <f t="shared" si="23"/>
        <v/>
      </c>
      <c r="BW49" t="str">
        <f t="shared" si="23"/>
        <v/>
      </c>
    </row>
    <row r="50" spans="1:75" x14ac:dyDescent="0.25">
      <c r="A50" t="s">
        <v>148</v>
      </c>
      <c r="J50">
        <f>SUMIFS('Suivi Temps'!$D:$D,'Suivi Temps'!$A:$A,"P002-040")</f>
        <v>0</v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9"/>
        <v/>
      </c>
      <c r="AA50" t="str">
        <f t="shared" si="19"/>
        <v/>
      </c>
      <c r="AB50" t="str">
        <f t="shared" si="19"/>
        <v/>
      </c>
      <c r="AC50" t="str">
        <f t="shared" si="19"/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20"/>
        <v/>
      </c>
      <c r="AK50" t="str">
        <f t="shared" si="20"/>
        <v/>
      </c>
      <c r="AL50" t="str">
        <f t="shared" si="20"/>
        <v/>
      </c>
      <c r="AM50" t="str">
        <f t="shared" si="20"/>
        <v/>
      </c>
      <c r="AN50" t="str">
        <f t="shared" si="20"/>
        <v/>
      </c>
      <c r="AO50" t="str">
        <f t="shared" si="20"/>
        <v/>
      </c>
      <c r="AP50" t="str">
        <f t="shared" si="20"/>
        <v/>
      </c>
      <c r="AQ50" t="str">
        <f t="shared" si="20"/>
        <v/>
      </c>
      <c r="AR50" t="str">
        <f t="shared" si="20"/>
        <v/>
      </c>
      <c r="AS50" t="str">
        <f t="shared" si="20"/>
        <v/>
      </c>
      <c r="AT50" t="str">
        <f t="shared" si="21"/>
        <v/>
      </c>
      <c r="AU50" t="str">
        <f t="shared" si="21"/>
        <v/>
      </c>
      <c r="AV50" t="str">
        <f t="shared" si="21"/>
        <v/>
      </c>
      <c r="AW50" t="str">
        <f t="shared" si="21"/>
        <v/>
      </c>
      <c r="AX50" t="str">
        <f t="shared" si="21"/>
        <v/>
      </c>
      <c r="AY50" t="str">
        <f t="shared" si="21"/>
        <v/>
      </c>
      <c r="AZ50" t="str">
        <f t="shared" si="21"/>
        <v/>
      </c>
      <c r="BA50" t="str">
        <f t="shared" si="21"/>
        <v/>
      </c>
      <c r="BB50" t="str">
        <f t="shared" si="21"/>
        <v/>
      </c>
      <c r="BC50" t="str">
        <f t="shared" si="21"/>
        <v/>
      </c>
      <c r="BD50" t="str">
        <f t="shared" si="22"/>
        <v/>
      </c>
      <c r="BE50" t="str">
        <f t="shared" si="22"/>
        <v/>
      </c>
      <c r="BF50" t="str">
        <f t="shared" si="22"/>
        <v/>
      </c>
      <c r="BG50" t="str">
        <f t="shared" si="22"/>
        <v/>
      </c>
      <c r="BH50" t="str">
        <f t="shared" si="22"/>
        <v/>
      </c>
      <c r="BI50" t="str">
        <f t="shared" si="22"/>
        <v/>
      </c>
      <c r="BJ50" t="str">
        <f t="shared" si="22"/>
        <v/>
      </c>
      <c r="BK50" t="str">
        <f t="shared" si="22"/>
        <v/>
      </c>
      <c r="BL50" t="str">
        <f t="shared" si="22"/>
        <v/>
      </c>
      <c r="BM50" t="str">
        <f t="shared" si="22"/>
        <v/>
      </c>
      <c r="BN50" t="str">
        <f t="shared" si="23"/>
        <v/>
      </c>
      <c r="BO50" t="str">
        <f t="shared" si="23"/>
        <v/>
      </c>
      <c r="BP50" t="str">
        <f t="shared" si="23"/>
        <v/>
      </c>
      <c r="BQ50" t="str">
        <f t="shared" si="23"/>
        <v/>
      </c>
      <c r="BR50" t="str">
        <f t="shared" si="23"/>
        <v/>
      </c>
      <c r="BS50" t="str">
        <f t="shared" si="23"/>
        <v/>
      </c>
      <c r="BT50" t="str">
        <f t="shared" si="23"/>
        <v/>
      </c>
      <c r="BU50" t="str">
        <f t="shared" si="23"/>
        <v/>
      </c>
      <c r="BV50" t="str">
        <f t="shared" si="23"/>
        <v/>
      </c>
      <c r="BW50" t="str">
        <f t="shared" si="23"/>
        <v/>
      </c>
    </row>
    <row r="51" spans="1:75" x14ac:dyDescent="0.25">
      <c r="A51" t="s">
        <v>149</v>
      </c>
      <c r="J51">
        <f>SUMIFS('Suivi Temps'!$D:$D,'Suivi Temps'!$A:$A,"P002-041")</f>
        <v>0</v>
      </c>
      <c r="P51" t="str">
        <f t="shared" ref="P51:Y61" si="24">IF(AND($E51&lt;&gt;"",$F51&lt;&gt;"",P$9&gt;=$E51,P$9&lt;=$F51),"■","")</f>
        <v/>
      </c>
      <c r="Q51" t="str">
        <f t="shared" si="24"/>
        <v/>
      </c>
      <c r="R51" t="str">
        <f t="shared" si="24"/>
        <v/>
      </c>
      <c r="S51" t="str">
        <f t="shared" si="24"/>
        <v/>
      </c>
      <c r="T51" t="str">
        <f t="shared" si="24"/>
        <v/>
      </c>
      <c r="U51" t="str">
        <f t="shared" si="24"/>
        <v/>
      </c>
      <c r="V51" t="str">
        <f t="shared" si="24"/>
        <v/>
      </c>
      <c r="W51" t="str">
        <f t="shared" si="24"/>
        <v/>
      </c>
      <c r="X51" t="str">
        <f t="shared" si="24"/>
        <v/>
      </c>
      <c r="Y51" t="str">
        <f t="shared" si="24"/>
        <v/>
      </c>
      <c r="Z51" t="str">
        <f t="shared" ref="Z51:AI61" si="25">IF(AND($E51&lt;&gt;"",$F51&lt;&gt;"",Z$9&gt;=$E51,Z$9&lt;=$F51),"■","")</f>
        <v/>
      </c>
      <c r="AA51" t="str">
        <f t="shared" si="25"/>
        <v/>
      </c>
      <c r="AB51" t="str">
        <f t="shared" si="25"/>
        <v/>
      </c>
      <c r="AC51" t="str">
        <f t="shared" si="25"/>
        <v/>
      </c>
      <c r="AD51" t="str">
        <f t="shared" si="25"/>
        <v/>
      </c>
      <c r="AE51" t="str">
        <f t="shared" si="25"/>
        <v/>
      </c>
      <c r="AF51" t="str">
        <f t="shared" si="25"/>
        <v/>
      </c>
      <c r="AG51" t="str">
        <f t="shared" si="25"/>
        <v/>
      </c>
      <c r="AH51" t="str">
        <f t="shared" si="25"/>
        <v/>
      </c>
      <c r="AI51" t="str">
        <f t="shared" si="25"/>
        <v/>
      </c>
      <c r="AJ51" t="str">
        <f t="shared" ref="AJ51:AS61" si="26">IF(AND($E51&lt;&gt;"",$F51&lt;&gt;"",AJ$9&gt;=$E51,AJ$9&lt;=$F51),"■","")</f>
        <v/>
      </c>
      <c r="AK51" t="str">
        <f t="shared" si="26"/>
        <v/>
      </c>
      <c r="AL51" t="str">
        <f t="shared" si="26"/>
        <v/>
      </c>
      <c r="AM51" t="str">
        <f t="shared" si="26"/>
        <v/>
      </c>
      <c r="AN51" t="str">
        <f t="shared" si="26"/>
        <v/>
      </c>
      <c r="AO51" t="str">
        <f t="shared" si="26"/>
        <v/>
      </c>
      <c r="AP51" t="str">
        <f t="shared" si="26"/>
        <v/>
      </c>
      <c r="AQ51" t="str">
        <f t="shared" si="26"/>
        <v/>
      </c>
      <c r="AR51" t="str">
        <f t="shared" si="26"/>
        <v/>
      </c>
      <c r="AS51" t="str">
        <f t="shared" si="26"/>
        <v/>
      </c>
      <c r="AT51" t="str">
        <f t="shared" ref="AT51:BC61" si="27">IF(AND($E51&lt;&gt;"",$F51&lt;&gt;"",AT$9&gt;=$E51,AT$9&lt;=$F51),"■","")</f>
        <v/>
      </c>
      <c r="AU51" t="str">
        <f t="shared" si="27"/>
        <v/>
      </c>
      <c r="AV51" t="str">
        <f t="shared" si="27"/>
        <v/>
      </c>
      <c r="AW51" t="str">
        <f t="shared" si="27"/>
        <v/>
      </c>
      <c r="AX51" t="str">
        <f t="shared" si="27"/>
        <v/>
      </c>
      <c r="AY51" t="str">
        <f t="shared" si="27"/>
        <v/>
      </c>
      <c r="AZ51" t="str">
        <f t="shared" si="27"/>
        <v/>
      </c>
      <c r="BA51" t="str">
        <f t="shared" si="27"/>
        <v/>
      </c>
      <c r="BB51" t="str">
        <f t="shared" si="27"/>
        <v/>
      </c>
      <c r="BC51" t="str">
        <f t="shared" si="27"/>
        <v/>
      </c>
      <c r="BD51" t="str">
        <f t="shared" ref="BD51:BM61" si="28">IF(AND($E51&lt;&gt;"",$F51&lt;&gt;"",BD$9&gt;=$E51,BD$9&lt;=$F51),"■","")</f>
        <v/>
      </c>
      <c r="BE51" t="str">
        <f t="shared" si="28"/>
        <v/>
      </c>
      <c r="BF51" t="str">
        <f t="shared" si="28"/>
        <v/>
      </c>
      <c r="BG51" t="str">
        <f t="shared" si="28"/>
        <v/>
      </c>
      <c r="BH51" t="str">
        <f t="shared" si="28"/>
        <v/>
      </c>
      <c r="BI51" t="str">
        <f t="shared" si="28"/>
        <v/>
      </c>
      <c r="BJ51" t="str">
        <f t="shared" si="28"/>
        <v/>
      </c>
      <c r="BK51" t="str">
        <f t="shared" si="28"/>
        <v/>
      </c>
      <c r="BL51" t="str">
        <f t="shared" si="28"/>
        <v/>
      </c>
      <c r="BM51" t="str">
        <f t="shared" si="28"/>
        <v/>
      </c>
      <c r="BN51" t="str">
        <f t="shared" ref="BN51:BW61" si="29">IF(AND($E51&lt;&gt;"",$F51&lt;&gt;"",BN$9&gt;=$E51,BN$9&lt;=$F51),"■","")</f>
        <v/>
      </c>
      <c r="BO51" t="str">
        <f t="shared" si="29"/>
        <v/>
      </c>
      <c r="BP51" t="str">
        <f t="shared" si="29"/>
        <v/>
      </c>
      <c r="BQ51" t="str">
        <f t="shared" si="29"/>
        <v/>
      </c>
      <c r="BR51" t="str">
        <f t="shared" si="29"/>
        <v/>
      </c>
      <c r="BS51" t="str">
        <f t="shared" si="29"/>
        <v/>
      </c>
      <c r="BT51" t="str">
        <f t="shared" si="29"/>
        <v/>
      </c>
      <c r="BU51" t="str">
        <f t="shared" si="29"/>
        <v/>
      </c>
      <c r="BV51" t="str">
        <f t="shared" si="29"/>
        <v/>
      </c>
      <c r="BW51" t="str">
        <f t="shared" si="29"/>
        <v/>
      </c>
    </row>
    <row r="52" spans="1:75" x14ac:dyDescent="0.25">
      <c r="A52" t="s">
        <v>150</v>
      </c>
      <c r="J52">
        <f>SUMIFS('Suivi Temps'!$D:$D,'Suivi Temps'!$A:$A,"P002-042")</f>
        <v>0</v>
      </c>
      <c r="P52" t="str">
        <f t="shared" si="24"/>
        <v/>
      </c>
      <c r="Q52" t="str">
        <f t="shared" si="24"/>
        <v/>
      </c>
      <c r="R52" t="str">
        <f t="shared" si="24"/>
        <v/>
      </c>
      <c r="S52" t="str">
        <f t="shared" si="24"/>
        <v/>
      </c>
      <c r="T52" t="str">
        <f t="shared" si="24"/>
        <v/>
      </c>
      <c r="U52" t="str">
        <f t="shared" si="24"/>
        <v/>
      </c>
      <c r="V52" t="str">
        <f t="shared" si="24"/>
        <v/>
      </c>
      <c r="W52" t="str">
        <f t="shared" si="24"/>
        <v/>
      </c>
      <c r="X52" t="str">
        <f t="shared" si="24"/>
        <v/>
      </c>
      <c r="Y52" t="str">
        <f t="shared" si="24"/>
        <v/>
      </c>
      <c r="Z52" t="str">
        <f t="shared" si="25"/>
        <v/>
      </c>
      <c r="AA52" t="str">
        <f t="shared" si="25"/>
        <v/>
      </c>
      <c r="AB52" t="str">
        <f t="shared" si="25"/>
        <v/>
      </c>
      <c r="AC52" t="str">
        <f t="shared" si="25"/>
        <v/>
      </c>
      <c r="AD52" t="str">
        <f t="shared" si="25"/>
        <v/>
      </c>
      <c r="AE52" t="str">
        <f t="shared" si="25"/>
        <v/>
      </c>
      <c r="AF52" t="str">
        <f t="shared" si="25"/>
        <v/>
      </c>
      <c r="AG52" t="str">
        <f t="shared" si="25"/>
        <v/>
      </c>
      <c r="AH52" t="str">
        <f t="shared" si="25"/>
        <v/>
      </c>
      <c r="AI52" t="str">
        <f t="shared" si="25"/>
        <v/>
      </c>
      <c r="AJ52" t="str">
        <f t="shared" si="26"/>
        <v/>
      </c>
      <c r="AK52" t="str">
        <f t="shared" si="26"/>
        <v/>
      </c>
      <c r="AL52" t="str">
        <f t="shared" si="26"/>
        <v/>
      </c>
      <c r="AM52" t="str">
        <f t="shared" si="26"/>
        <v/>
      </c>
      <c r="AN52" t="str">
        <f t="shared" si="26"/>
        <v/>
      </c>
      <c r="AO52" t="str">
        <f t="shared" si="26"/>
        <v/>
      </c>
      <c r="AP52" t="str">
        <f t="shared" si="26"/>
        <v/>
      </c>
      <c r="AQ52" t="str">
        <f t="shared" si="26"/>
        <v/>
      </c>
      <c r="AR52" t="str">
        <f t="shared" si="26"/>
        <v/>
      </c>
      <c r="AS52" t="str">
        <f t="shared" si="26"/>
        <v/>
      </c>
      <c r="AT52" t="str">
        <f t="shared" si="27"/>
        <v/>
      </c>
      <c r="AU52" t="str">
        <f t="shared" si="27"/>
        <v/>
      </c>
      <c r="AV52" t="str">
        <f t="shared" si="27"/>
        <v/>
      </c>
      <c r="AW52" t="str">
        <f t="shared" si="27"/>
        <v/>
      </c>
      <c r="AX52" t="str">
        <f t="shared" si="27"/>
        <v/>
      </c>
      <c r="AY52" t="str">
        <f t="shared" si="27"/>
        <v/>
      </c>
      <c r="AZ52" t="str">
        <f t="shared" si="27"/>
        <v/>
      </c>
      <c r="BA52" t="str">
        <f t="shared" si="27"/>
        <v/>
      </c>
      <c r="BB52" t="str">
        <f t="shared" si="27"/>
        <v/>
      </c>
      <c r="BC52" t="str">
        <f t="shared" si="27"/>
        <v/>
      </c>
      <c r="BD52" t="str">
        <f t="shared" si="28"/>
        <v/>
      </c>
      <c r="BE52" t="str">
        <f t="shared" si="28"/>
        <v/>
      </c>
      <c r="BF52" t="str">
        <f t="shared" si="28"/>
        <v/>
      </c>
      <c r="BG52" t="str">
        <f t="shared" si="28"/>
        <v/>
      </c>
      <c r="BH52" t="str">
        <f t="shared" si="28"/>
        <v/>
      </c>
      <c r="BI52" t="str">
        <f t="shared" si="28"/>
        <v/>
      </c>
      <c r="BJ52" t="str">
        <f t="shared" si="28"/>
        <v/>
      </c>
      <c r="BK52" t="str">
        <f t="shared" si="28"/>
        <v/>
      </c>
      <c r="BL52" t="str">
        <f t="shared" si="28"/>
        <v/>
      </c>
      <c r="BM52" t="str">
        <f t="shared" si="28"/>
        <v/>
      </c>
      <c r="BN52" t="str">
        <f t="shared" si="29"/>
        <v/>
      </c>
      <c r="BO52" t="str">
        <f t="shared" si="29"/>
        <v/>
      </c>
      <c r="BP52" t="str">
        <f t="shared" si="29"/>
        <v/>
      </c>
      <c r="BQ52" t="str">
        <f t="shared" si="29"/>
        <v/>
      </c>
      <c r="BR52" t="str">
        <f t="shared" si="29"/>
        <v/>
      </c>
      <c r="BS52" t="str">
        <f t="shared" si="29"/>
        <v/>
      </c>
      <c r="BT52" t="str">
        <f t="shared" si="29"/>
        <v/>
      </c>
      <c r="BU52" t="str">
        <f t="shared" si="29"/>
        <v/>
      </c>
      <c r="BV52" t="str">
        <f t="shared" si="29"/>
        <v/>
      </c>
      <c r="BW52" t="str">
        <f t="shared" si="29"/>
        <v/>
      </c>
    </row>
    <row r="53" spans="1:75" x14ac:dyDescent="0.25">
      <c r="A53" t="s">
        <v>151</v>
      </c>
      <c r="J53">
        <f>SUMIFS('Suivi Temps'!$D:$D,'Suivi Temps'!$A:$A,"P002-043")</f>
        <v>0</v>
      </c>
      <c r="P53" t="str">
        <f t="shared" si="24"/>
        <v/>
      </c>
      <c r="Q53" t="str">
        <f t="shared" si="24"/>
        <v/>
      </c>
      <c r="R53" t="str">
        <f t="shared" si="24"/>
        <v/>
      </c>
      <c r="S53" t="str">
        <f t="shared" si="24"/>
        <v/>
      </c>
      <c r="T53" t="str">
        <f t="shared" si="24"/>
        <v/>
      </c>
      <c r="U53" t="str">
        <f t="shared" si="24"/>
        <v/>
      </c>
      <c r="V53" t="str">
        <f t="shared" si="24"/>
        <v/>
      </c>
      <c r="W53" t="str">
        <f t="shared" si="24"/>
        <v/>
      </c>
      <c r="X53" t="str">
        <f t="shared" si="24"/>
        <v/>
      </c>
      <c r="Y53" t="str">
        <f t="shared" si="24"/>
        <v/>
      </c>
      <c r="Z53" t="str">
        <f t="shared" si="25"/>
        <v/>
      </c>
      <c r="AA53" t="str">
        <f t="shared" si="25"/>
        <v/>
      </c>
      <c r="AB53" t="str">
        <f t="shared" si="25"/>
        <v/>
      </c>
      <c r="AC53" t="str">
        <f t="shared" si="25"/>
        <v/>
      </c>
      <c r="AD53" t="str">
        <f t="shared" si="25"/>
        <v/>
      </c>
      <c r="AE53" t="str">
        <f t="shared" si="25"/>
        <v/>
      </c>
      <c r="AF53" t="str">
        <f t="shared" si="25"/>
        <v/>
      </c>
      <c r="AG53" t="str">
        <f t="shared" si="25"/>
        <v/>
      </c>
      <c r="AH53" t="str">
        <f t="shared" si="25"/>
        <v/>
      </c>
      <c r="AI53" t="str">
        <f t="shared" si="25"/>
        <v/>
      </c>
      <c r="AJ53" t="str">
        <f t="shared" si="26"/>
        <v/>
      </c>
      <c r="AK53" t="str">
        <f t="shared" si="26"/>
        <v/>
      </c>
      <c r="AL53" t="str">
        <f t="shared" si="26"/>
        <v/>
      </c>
      <c r="AM53" t="str">
        <f t="shared" si="26"/>
        <v/>
      </c>
      <c r="AN53" t="str">
        <f t="shared" si="26"/>
        <v/>
      </c>
      <c r="AO53" t="str">
        <f t="shared" si="26"/>
        <v/>
      </c>
      <c r="AP53" t="str">
        <f t="shared" si="26"/>
        <v/>
      </c>
      <c r="AQ53" t="str">
        <f t="shared" si="26"/>
        <v/>
      </c>
      <c r="AR53" t="str">
        <f t="shared" si="26"/>
        <v/>
      </c>
      <c r="AS53" t="str">
        <f t="shared" si="26"/>
        <v/>
      </c>
      <c r="AT53" t="str">
        <f t="shared" si="27"/>
        <v/>
      </c>
      <c r="AU53" t="str">
        <f t="shared" si="27"/>
        <v/>
      </c>
      <c r="AV53" t="str">
        <f t="shared" si="27"/>
        <v/>
      </c>
      <c r="AW53" t="str">
        <f t="shared" si="27"/>
        <v/>
      </c>
      <c r="AX53" t="str">
        <f t="shared" si="27"/>
        <v/>
      </c>
      <c r="AY53" t="str">
        <f t="shared" si="27"/>
        <v/>
      </c>
      <c r="AZ53" t="str">
        <f t="shared" si="27"/>
        <v/>
      </c>
      <c r="BA53" t="str">
        <f t="shared" si="27"/>
        <v/>
      </c>
      <c r="BB53" t="str">
        <f t="shared" si="27"/>
        <v/>
      </c>
      <c r="BC53" t="str">
        <f t="shared" si="27"/>
        <v/>
      </c>
      <c r="BD53" t="str">
        <f t="shared" si="28"/>
        <v/>
      </c>
      <c r="BE53" t="str">
        <f t="shared" si="28"/>
        <v/>
      </c>
      <c r="BF53" t="str">
        <f t="shared" si="28"/>
        <v/>
      </c>
      <c r="BG53" t="str">
        <f t="shared" si="28"/>
        <v/>
      </c>
      <c r="BH53" t="str">
        <f t="shared" si="28"/>
        <v/>
      </c>
      <c r="BI53" t="str">
        <f t="shared" si="28"/>
        <v/>
      </c>
      <c r="BJ53" t="str">
        <f t="shared" si="28"/>
        <v/>
      </c>
      <c r="BK53" t="str">
        <f t="shared" si="28"/>
        <v/>
      </c>
      <c r="BL53" t="str">
        <f t="shared" si="28"/>
        <v/>
      </c>
      <c r="BM53" t="str">
        <f t="shared" si="28"/>
        <v/>
      </c>
      <c r="BN53" t="str">
        <f t="shared" si="29"/>
        <v/>
      </c>
      <c r="BO53" t="str">
        <f t="shared" si="29"/>
        <v/>
      </c>
      <c r="BP53" t="str">
        <f t="shared" si="29"/>
        <v/>
      </c>
      <c r="BQ53" t="str">
        <f t="shared" si="29"/>
        <v/>
      </c>
      <c r="BR53" t="str">
        <f t="shared" si="29"/>
        <v/>
      </c>
      <c r="BS53" t="str">
        <f t="shared" si="29"/>
        <v/>
      </c>
      <c r="BT53" t="str">
        <f t="shared" si="29"/>
        <v/>
      </c>
      <c r="BU53" t="str">
        <f t="shared" si="29"/>
        <v/>
      </c>
      <c r="BV53" t="str">
        <f t="shared" si="29"/>
        <v/>
      </c>
      <c r="BW53" t="str">
        <f t="shared" si="29"/>
        <v/>
      </c>
    </row>
    <row r="54" spans="1:75" x14ac:dyDescent="0.25">
      <c r="A54" t="s">
        <v>152</v>
      </c>
      <c r="J54">
        <f>SUMIFS('Suivi Temps'!$D:$D,'Suivi Temps'!$A:$A,"P002-044")</f>
        <v>0</v>
      </c>
      <c r="P54" t="str">
        <f t="shared" si="24"/>
        <v/>
      </c>
      <c r="Q54" t="str">
        <f t="shared" si="24"/>
        <v/>
      </c>
      <c r="R54" t="str">
        <f t="shared" si="24"/>
        <v/>
      </c>
      <c r="S54" t="str">
        <f t="shared" si="24"/>
        <v/>
      </c>
      <c r="T54" t="str">
        <f t="shared" si="24"/>
        <v/>
      </c>
      <c r="U54" t="str">
        <f t="shared" si="24"/>
        <v/>
      </c>
      <c r="V54" t="str">
        <f t="shared" si="24"/>
        <v/>
      </c>
      <c r="W54" t="str">
        <f t="shared" si="24"/>
        <v/>
      </c>
      <c r="X54" t="str">
        <f t="shared" si="24"/>
        <v/>
      </c>
      <c r="Y54" t="str">
        <f t="shared" si="24"/>
        <v/>
      </c>
      <c r="Z54" t="str">
        <f t="shared" si="25"/>
        <v/>
      </c>
      <c r="AA54" t="str">
        <f t="shared" si="25"/>
        <v/>
      </c>
      <c r="AB54" t="str">
        <f t="shared" si="25"/>
        <v/>
      </c>
      <c r="AC54" t="str">
        <f t="shared" si="25"/>
        <v/>
      </c>
      <c r="AD54" t="str">
        <f t="shared" si="25"/>
        <v/>
      </c>
      <c r="AE54" t="str">
        <f t="shared" si="25"/>
        <v/>
      </c>
      <c r="AF54" t="str">
        <f t="shared" si="25"/>
        <v/>
      </c>
      <c r="AG54" t="str">
        <f t="shared" si="25"/>
        <v/>
      </c>
      <c r="AH54" t="str">
        <f t="shared" si="25"/>
        <v/>
      </c>
      <c r="AI54" t="str">
        <f t="shared" si="25"/>
        <v/>
      </c>
      <c r="AJ54" t="str">
        <f t="shared" si="26"/>
        <v/>
      </c>
      <c r="AK54" t="str">
        <f t="shared" si="26"/>
        <v/>
      </c>
      <c r="AL54" t="str">
        <f t="shared" si="26"/>
        <v/>
      </c>
      <c r="AM54" t="str">
        <f t="shared" si="26"/>
        <v/>
      </c>
      <c r="AN54" t="str">
        <f t="shared" si="26"/>
        <v/>
      </c>
      <c r="AO54" t="str">
        <f t="shared" si="26"/>
        <v/>
      </c>
      <c r="AP54" t="str">
        <f t="shared" si="26"/>
        <v/>
      </c>
      <c r="AQ54" t="str">
        <f t="shared" si="26"/>
        <v/>
      </c>
      <c r="AR54" t="str">
        <f t="shared" si="26"/>
        <v/>
      </c>
      <c r="AS54" t="str">
        <f t="shared" si="26"/>
        <v/>
      </c>
      <c r="AT54" t="str">
        <f t="shared" si="27"/>
        <v/>
      </c>
      <c r="AU54" t="str">
        <f t="shared" si="27"/>
        <v/>
      </c>
      <c r="AV54" t="str">
        <f t="shared" si="27"/>
        <v/>
      </c>
      <c r="AW54" t="str">
        <f t="shared" si="27"/>
        <v/>
      </c>
      <c r="AX54" t="str">
        <f t="shared" si="27"/>
        <v/>
      </c>
      <c r="AY54" t="str">
        <f t="shared" si="27"/>
        <v/>
      </c>
      <c r="AZ54" t="str">
        <f t="shared" si="27"/>
        <v/>
      </c>
      <c r="BA54" t="str">
        <f t="shared" si="27"/>
        <v/>
      </c>
      <c r="BB54" t="str">
        <f t="shared" si="27"/>
        <v/>
      </c>
      <c r="BC54" t="str">
        <f t="shared" si="27"/>
        <v/>
      </c>
      <c r="BD54" t="str">
        <f t="shared" si="28"/>
        <v/>
      </c>
      <c r="BE54" t="str">
        <f t="shared" si="28"/>
        <v/>
      </c>
      <c r="BF54" t="str">
        <f t="shared" si="28"/>
        <v/>
      </c>
      <c r="BG54" t="str">
        <f t="shared" si="28"/>
        <v/>
      </c>
      <c r="BH54" t="str">
        <f t="shared" si="28"/>
        <v/>
      </c>
      <c r="BI54" t="str">
        <f t="shared" si="28"/>
        <v/>
      </c>
      <c r="BJ54" t="str">
        <f t="shared" si="28"/>
        <v/>
      </c>
      <c r="BK54" t="str">
        <f t="shared" si="28"/>
        <v/>
      </c>
      <c r="BL54" t="str">
        <f t="shared" si="28"/>
        <v/>
      </c>
      <c r="BM54" t="str">
        <f t="shared" si="28"/>
        <v/>
      </c>
      <c r="BN54" t="str">
        <f t="shared" si="29"/>
        <v/>
      </c>
      <c r="BO54" t="str">
        <f t="shared" si="29"/>
        <v/>
      </c>
      <c r="BP54" t="str">
        <f t="shared" si="29"/>
        <v/>
      </c>
      <c r="BQ54" t="str">
        <f t="shared" si="29"/>
        <v/>
      </c>
      <c r="BR54" t="str">
        <f t="shared" si="29"/>
        <v/>
      </c>
      <c r="BS54" t="str">
        <f t="shared" si="29"/>
        <v/>
      </c>
      <c r="BT54" t="str">
        <f t="shared" si="29"/>
        <v/>
      </c>
      <c r="BU54" t="str">
        <f t="shared" si="29"/>
        <v/>
      </c>
      <c r="BV54" t="str">
        <f t="shared" si="29"/>
        <v/>
      </c>
      <c r="BW54" t="str">
        <f t="shared" si="29"/>
        <v/>
      </c>
    </row>
    <row r="55" spans="1:75" x14ac:dyDescent="0.25">
      <c r="A55" t="s">
        <v>153</v>
      </c>
      <c r="J55">
        <f>SUMIFS('Suivi Temps'!$D:$D,'Suivi Temps'!$A:$A,"P002-045")</f>
        <v>0</v>
      </c>
      <c r="P55" t="str">
        <f t="shared" si="24"/>
        <v/>
      </c>
      <c r="Q55" t="str">
        <f t="shared" si="24"/>
        <v/>
      </c>
      <c r="R55" t="str">
        <f t="shared" si="24"/>
        <v/>
      </c>
      <c r="S55" t="str">
        <f t="shared" si="24"/>
        <v/>
      </c>
      <c r="T55" t="str">
        <f t="shared" si="24"/>
        <v/>
      </c>
      <c r="U55" t="str">
        <f t="shared" si="24"/>
        <v/>
      </c>
      <c r="V55" t="str">
        <f t="shared" si="24"/>
        <v/>
      </c>
      <c r="W55" t="str">
        <f t="shared" si="24"/>
        <v/>
      </c>
      <c r="X55" t="str">
        <f t="shared" si="24"/>
        <v/>
      </c>
      <c r="Y55" t="str">
        <f t="shared" si="24"/>
        <v/>
      </c>
      <c r="Z55" t="str">
        <f t="shared" si="25"/>
        <v/>
      </c>
      <c r="AA55" t="str">
        <f t="shared" si="25"/>
        <v/>
      </c>
      <c r="AB55" t="str">
        <f t="shared" si="25"/>
        <v/>
      </c>
      <c r="AC55" t="str">
        <f t="shared" si="25"/>
        <v/>
      </c>
      <c r="AD55" t="str">
        <f t="shared" si="25"/>
        <v/>
      </c>
      <c r="AE55" t="str">
        <f t="shared" si="25"/>
        <v/>
      </c>
      <c r="AF55" t="str">
        <f t="shared" si="25"/>
        <v/>
      </c>
      <c r="AG55" t="str">
        <f t="shared" si="25"/>
        <v/>
      </c>
      <c r="AH55" t="str">
        <f t="shared" si="25"/>
        <v/>
      </c>
      <c r="AI55" t="str">
        <f t="shared" si="25"/>
        <v/>
      </c>
      <c r="AJ55" t="str">
        <f t="shared" si="26"/>
        <v/>
      </c>
      <c r="AK55" t="str">
        <f t="shared" si="26"/>
        <v/>
      </c>
      <c r="AL55" t="str">
        <f t="shared" si="26"/>
        <v/>
      </c>
      <c r="AM55" t="str">
        <f t="shared" si="26"/>
        <v/>
      </c>
      <c r="AN55" t="str">
        <f t="shared" si="26"/>
        <v/>
      </c>
      <c r="AO55" t="str">
        <f t="shared" si="26"/>
        <v/>
      </c>
      <c r="AP55" t="str">
        <f t="shared" si="26"/>
        <v/>
      </c>
      <c r="AQ55" t="str">
        <f t="shared" si="26"/>
        <v/>
      </c>
      <c r="AR55" t="str">
        <f t="shared" si="26"/>
        <v/>
      </c>
      <c r="AS55" t="str">
        <f t="shared" si="26"/>
        <v/>
      </c>
      <c r="AT55" t="str">
        <f t="shared" si="27"/>
        <v/>
      </c>
      <c r="AU55" t="str">
        <f t="shared" si="27"/>
        <v/>
      </c>
      <c r="AV55" t="str">
        <f t="shared" si="27"/>
        <v/>
      </c>
      <c r="AW55" t="str">
        <f t="shared" si="27"/>
        <v/>
      </c>
      <c r="AX55" t="str">
        <f t="shared" si="27"/>
        <v/>
      </c>
      <c r="AY55" t="str">
        <f t="shared" si="27"/>
        <v/>
      </c>
      <c r="AZ55" t="str">
        <f t="shared" si="27"/>
        <v/>
      </c>
      <c r="BA55" t="str">
        <f t="shared" si="27"/>
        <v/>
      </c>
      <c r="BB55" t="str">
        <f t="shared" si="27"/>
        <v/>
      </c>
      <c r="BC55" t="str">
        <f t="shared" si="27"/>
        <v/>
      </c>
      <c r="BD55" t="str">
        <f t="shared" si="28"/>
        <v/>
      </c>
      <c r="BE55" t="str">
        <f t="shared" si="28"/>
        <v/>
      </c>
      <c r="BF55" t="str">
        <f t="shared" si="28"/>
        <v/>
      </c>
      <c r="BG55" t="str">
        <f t="shared" si="28"/>
        <v/>
      </c>
      <c r="BH55" t="str">
        <f t="shared" si="28"/>
        <v/>
      </c>
      <c r="BI55" t="str">
        <f t="shared" si="28"/>
        <v/>
      </c>
      <c r="BJ55" t="str">
        <f t="shared" si="28"/>
        <v/>
      </c>
      <c r="BK55" t="str">
        <f t="shared" si="28"/>
        <v/>
      </c>
      <c r="BL55" t="str">
        <f t="shared" si="28"/>
        <v/>
      </c>
      <c r="BM55" t="str">
        <f t="shared" si="28"/>
        <v/>
      </c>
      <c r="BN55" t="str">
        <f t="shared" si="29"/>
        <v/>
      </c>
      <c r="BO55" t="str">
        <f t="shared" si="29"/>
        <v/>
      </c>
      <c r="BP55" t="str">
        <f t="shared" si="29"/>
        <v/>
      </c>
      <c r="BQ55" t="str">
        <f t="shared" si="29"/>
        <v/>
      </c>
      <c r="BR55" t="str">
        <f t="shared" si="29"/>
        <v/>
      </c>
      <c r="BS55" t="str">
        <f t="shared" si="29"/>
        <v/>
      </c>
      <c r="BT55" t="str">
        <f t="shared" si="29"/>
        <v/>
      </c>
      <c r="BU55" t="str">
        <f t="shared" si="29"/>
        <v/>
      </c>
      <c r="BV55" t="str">
        <f t="shared" si="29"/>
        <v/>
      </c>
      <c r="BW55" t="str">
        <f t="shared" si="29"/>
        <v/>
      </c>
    </row>
    <row r="56" spans="1:75" x14ac:dyDescent="0.25">
      <c r="A56" t="s">
        <v>154</v>
      </c>
      <c r="J56">
        <f>SUMIFS('Suivi Temps'!$D:$D,'Suivi Temps'!$A:$A,"P002-046")</f>
        <v>0</v>
      </c>
      <c r="P56" t="str">
        <f t="shared" si="24"/>
        <v/>
      </c>
      <c r="Q56" t="str">
        <f t="shared" si="24"/>
        <v/>
      </c>
      <c r="R56" t="str">
        <f t="shared" si="24"/>
        <v/>
      </c>
      <c r="S56" t="str">
        <f t="shared" si="24"/>
        <v/>
      </c>
      <c r="T56" t="str">
        <f t="shared" si="24"/>
        <v/>
      </c>
      <c r="U56" t="str">
        <f t="shared" si="24"/>
        <v/>
      </c>
      <c r="V56" t="str">
        <f t="shared" si="24"/>
        <v/>
      </c>
      <c r="W56" t="str">
        <f t="shared" si="24"/>
        <v/>
      </c>
      <c r="X56" t="str">
        <f t="shared" si="24"/>
        <v/>
      </c>
      <c r="Y56" t="str">
        <f t="shared" si="24"/>
        <v/>
      </c>
      <c r="Z56" t="str">
        <f t="shared" si="25"/>
        <v/>
      </c>
      <c r="AA56" t="str">
        <f t="shared" si="25"/>
        <v/>
      </c>
      <c r="AB56" t="str">
        <f t="shared" si="25"/>
        <v/>
      </c>
      <c r="AC56" t="str">
        <f t="shared" si="25"/>
        <v/>
      </c>
      <c r="AD56" t="str">
        <f t="shared" si="25"/>
        <v/>
      </c>
      <c r="AE56" t="str">
        <f t="shared" si="25"/>
        <v/>
      </c>
      <c r="AF56" t="str">
        <f t="shared" si="25"/>
        <v/>
      </c>
      <c r="AG56" t="str">
        <f t="shared" si="25"/>
        <v/>
      </c>
      <c r="AH56" t="str">
        <f t="shared" si="25"/>
        <v/>
      </c>
      <c r="AI56" t="str">
        <f t="shared" si="25"/>
        <v/>
      </c>
      <c r="AJ56" t="str">
        <f t="shared" si="26"/>
        <v/>
      </c>
      <c r="AK56" t="str">
        <f t="shared" si="26"/>
        <v/>
      </c>
      <c r="AL56" t="str">
        <f t="shared" si="26"/>
        <v/>
      </c>
      <c r="AM56" t="str">
        <f t="shared" si="26"/>
        <v/>
      </c>
      <c r="AN56" t="str">
        <f t="shared" si="26"/>
        <v/>
      </c>
      <c r="AO56" t="str">
        <f t="shared" si="26"/>
        <v/>
      </c>
      <c r="AP56" t="str">
        <f t="shared" si="26"/>
        <v/>
      </c>
      <c r="AQ56" t="str">
        <f t="shared" si="26"/>
        <v/>
      </c>
      <c r="AR56" t="str">
        <f t="shared" si="26"/>
        <v/>
      </c>
      <c r="AS56" t="str">
        <f t="shared" si="26"/>
        <v/>
      </c>
      <c r="AT56" t="str">
        <f t="shared" si="27"/>
        <v/>
      </c>
      <c r="AU56" t="str">
        <f t="shared" si="27"/>
        <v/>
      </c>
      <c r="AV56" t="str">
        <f t="shared" si="27"/>
        <v/>
      </c>
      <c r="AW56" t="str">
        <f t="shared" si="27"/>
        <v/>
      </c>
      <c r="AX56" t="str">
        <f t="shared" si="27"/>
        <v/>
      </c>
      <c r="AY56" t="str">
        <f t="shared" si="27"/>
        <v/>
      </c>
      <c r="AZ56" t="str">
        <f t="shared" si="27"/>
        <v/>
      </c>
      <c r="BA56" t="str">
        <f t="shared" si="27"/>
        <v/>
      </c>
      <c r="BB56" t="str">
        <f t="shared" si="27"/>
        <v/>
      </c>
      <c r="BC56" t="str">
        <f t="shared" si="27"/>
        <v/>
      </c>
      <c r="BD56" t="str">
        <f t="shared" si="28"/>
        <v/>
      </c>
      <c r="BE56" t="str">
        <f t="shared" si="28"/>
        <v/>
      </c>
      <c r="BF56" t="str">
        <f t="shared" si="28"/>
        <v/>
      </c>
      <c r="BG56" t="str">
        <f t="shared" si="28"/>
        <v/>
      </c>
      <c r="BH56" t="str">
        <f t="shared" si="28"/>
        <v/>
      </c>
      <c r="BI56" t="str">
        <f t="shared" si="28"/>
        <v/>
      </c>
      <c r="BJ56" t="str">
        <f t="shared" si="28"/>
        <v/>
      </c>
      <c r="BK56" t="str">
        <f t="shared" si="28"/>
        <v/>
      </c>
      <c r="BL56" t="str">
        <f t="shared" si="28"/>
        <v/>
      </c>
      <c r="BM56" t="str">
        <f t="shared" si="28"/>
        <v/>
      </c>
      <c r="BN56" t="str">
        <f t="shared" si="29"/>
        <v/>
      </c>
      <c r="BO56" t="str">
        <f t="shared" si="29"/>
        <v/>
      </c>
      <c r="BP56" t="str">
        <f t="shared" si="29"/>
        <v/>
      </c>
      <c r="BQ56" t="str">
        <f t="shared" si="29"/>
        <v/>
      </c>
      <c r="BR56" t="str">
        <f t="shared" si="29"/>
        <v/>
      </c>
      <c r="BS56" t="str">
        <f t="shared" si="29"/>
        <v/>
      </c>
      <c r="BT56" t="str">
        <f t="shared" si="29"/>
        <v/>
      </c>
      <c r="BU56" t="str">
        <f t="shared" si="29"/>
        <v/>
      </c>
      <c r="BV56" t="str">
        <f t="shared" si="29"/>
        <v/>
      </c>
      <c r="BW56" t="str">
        <f t="shared" si="29"/>
        <v/>
      </c>
    </row>
    <row r="57" spans="1:75" x14ac:dyDescent="0.25">
      <c r="A57" t="s">
        <v>155</v>
      </c>
      <c r="J57">
        <f>SUMIFS('Suivi Temps'!$D:$D,'Suivi Temps'!$A:$A,"P002-047")</f>
        <v>0</v>
      </c>
      <c r="P57" t="str">
        <f t="shared" si="24"/>
        <v/>
      </c>
      <c r="Q57" t="str">
        <f t="shared" si="24"/>
        <v/>
      </c>
      <c r="R57" t="str">
        <f t="shared" si="24"/>
        <v/>
      </c>
      <c r="S57" t="str">
        <f t="shared" si="24"/>
        <v/>
      </c>
      <c r="T57" t="str">
        <f t="shared" si="24"/>
        <v/>
      </c>
      <c r="U57" t="str">
        <f t="shared" si="24"/>
        <v/>
      </c>
      <c r="V57" t="str">
        <f t="shared" si="24"/>
        <v/>
      </c>
      <c r="W57" t="str">
        <f t="shared" si="24"/>
        <v/>
      </c>
      <c r="X57" t="str">
        <f t="shared" si="24"/>
        <v/>
      </c>
      <c r="Y57" t="str">
        <f t="shared" si="24"/>
        <v/>
      </c>
      <c r="Z57" t="str">
        <f t="shared" si="25"/>
        <v/>
      </c>
      <c r="AA57" t="str">
        <f t="shared" si="25"/>
        <v/>
      </c>
      <c r="AB57" t="str">
        <f t="shared" si="25"/>
        <v/>
      </c>
      <c r="AC57" t="str">
        <f t="shared" si="25"/>
        <v/>
      </c>
      <c r="AD57" t="str">
        <f t="shared" si="25"/>
        <v/>
      </c>
      <c r="AE57" t="str">
        <f t="shared" si="25"/>
        <v/>
      </c>
      <c r="AF57" t="str">
        <f t="shared" si="25"/>
        <v/>
      </c>
      <c r="AG57" t="str">
        <f t="shared" si="25"/>
        <v/>
      </c>
      <c r="AH57" t="str">
        <f t="shared" si="25"/>
        <v/>
      </c>
      <c r="AI57" t="str">
        <f t="shared" si="25"/>
        <v/>
      </c>
      <c r="AJ57" t="str">
        <f t="shared" si="26"/>
        <v/>
      </c>
      <c r="AK57" t="str">
        <f t="shared" si="26"/>
        <v/>
      </c>
      <c r="AL57" t="str">
        <f t="shared" si="26"/>
        <v/>
      </c>
      <c r="AM57" t="str">
        <f t="shared" si="26"/>
        <v/>
      </c>
      <c r="AN57" t="str">
        <f t="shared" si="26"/>
        <v/>
      </c>
      <c r="AO57" t="str">
        <f t="shared" si="26"/>
        <v/>
      </c>
      <c r="AP57" t="str">
        <f t="shared" si="26"/>
        <v/>
      </c>
      <c r="AQ57" t="str">
        <f t="shared" si="26"/>
        <v/>
      </c>
      <c r="AR57" t="str">
        <f t="shared" si="26"/>
        <v/>
      </c>
      <c r="AS57" t="str">
        <f t="shared" si="26"/>
        <v/>
      </c>
      <c r="AT57" t="str">
        <f t="shared" si="27"/>
        <v/>
      </c>
      <c r="AU57" t="str">
        <f t="shared" si="27"/>
        <v/>
      </c>
      <c r="AV57" t="str">
        <f t="shared" si="27"/>
        <v/>
      </c>
      <c r="AW57" t="str">
        <f t="shared" si="27"/>
        <v/>
      </c>
      <c r="AX57" t="str">
        <f t="shared" si="27"/>
        <v/>
      </c>
      <c r="AY57" t="str">
        <f t="shared" si="27"/>
        <v/>
      </c>
      <c r="AZ57" t="str">
        <f t="shared" si="27"/>
        <v/>
      </c>
      <c r="BA57" t="str">
        <f t="shared" si="27"/>
        <v/>
      </c>
      <c r="BB57" t="str">
        <f t="shared" si="27"/>
        <v/>
      </c>
      <c r="BC57" t="str">
        <f t="shared" si="27"/>
        <v/>
      </c>
      <c r="BD57" t="str">
        <f t="shared" si="28"/>
        <v/>
      </c>
      <c r="BE57" t="str">
        <f t="shared" si="28"/>
        <v/>
      </c>
      <c r="BF57" t="str">
        <f t="shared" si="28"/>
        <v/>
      </c>
      <c r="BG57" t="str">
        <f t="shared" si="28"/>
        <v/>
      </c>
      <c r="BH57" t="str">
        <f t="shared" si="28"/>
        <v/>
      </c>
      <c r="BI57" t="str">
        <f t="shared" si="28"/>
        <v/>
      </c>
      <c r="BJ57" t="str">
        <f t="shared" si="28"/>
        <v/>
      </c>
      <c r="BK57" t="str">
        <f t="shared" si="28"/>
        <v/>
      </c>
      <c r="BL57" t="str">
        <f t="shared" si="28"/>
        <v/>
      </c>
      <c r="BM57" t="str">
        <f t="shared" si="28"/>
        <v/>
      </c>
      <c r="BN57" t="str">
        <f t="shared" si="29"/>
        <v/>
      </c>
      <c r="BO57" t="str">
        <f t="shared" si="29"/>
        <v/>
      </c>
      <c r="BP57" t="str">
        <f t="shared" si="29"/>
        <v/>
      </c>
      <c r="BQ57" t="str">
        <f t="shared" si="29"/>
        <v/>
      </c>
      <c r="BR57" t="str">
        <f t="shared" si="29"/>
        <v/>
      </c>
      <c r="BS57" t="str">
        <f t="shared" si="29"/>
        <v/>
      </c>
      <c r="BT57" t="str">
        <f t="shared" si="29"/>
        <v/>
      </c>
      <c r="BU57" t="str">
        <f t="shared" si="29"/>
        <v/>
      </c>
      <c r="BV57" t="str">
        <f t="shared" si="29"/>
        <v/>
      </c>
      <c r="BW57" t="str">
        <f t="shared" si="29"/>
        <v/>
      </c>
    </row>
    <row r="58" spans="1:75" x14ac:dyDescent="0.25">
      <c r="A58" t="s">
        <v>156</v>
      </c>
      <c r="J58">
        <f>SUMIFS('Suivi Temps'!$D:$D,'Suivi Temps'!$A:$A,"P002-048")</f>
        <v>0</v>
      </c>
      <c r="P58" t="str">
        <f t="shared" si="24"/>
        <v/>
      </c>
      <c r="Q58" t="str">
        <f t="shared" si="24"/>
        <v/>
      </c>
      <c r="R58" t="str">
        <f t="shared" si="24"/>
        <v/>
      </c>
      <c r="S58" t="str">
        <f t="shared" si="24"/>
        <v/>
      </c>
      <c r="T58" t="str">
        <f t="shared" si="24"/>
        <v/>
      </c>
      <c r="U58" t="str">
        <f t="shared" si="24"/>
        <v/>
      </c>
      <c r="V58" t="str">
        <f t="shared" si="24"/>
        <v/>
      </c>
      <c r="W58" t="str">
        <f t="shared" si="24"/>
        <v/>
      </c>
      <c r="X58" t="str">
        <f t="shared" si="24"/>
        <v/>
      </c>
      <c r="Y58" t="str">
        <f t="shared" si="24"/>
        <v/>
      </c>
      <c r="Z58" t="str">
        <f t="shared" si="25"/>
        <v/>
      </c>
      <c r="AA58" t="str">
        <f t="shared" si="25"/>
        <v/>
      </c>
      <c r="AB58" t="str">
        <f t="shared" si="25"/>
        <v/>
      </c>
      <c r="AC58" t="str">
        <f t="shared" si="25"/>
        <v/>
      </c>
      <c r="AD58" t="str">
        <f t="shared" si="25"/>
        <v/>
      </c>
      <c r="AE58" t="str">
        <f t="shared" si="25"/>
        <v/>
      </c>
      <c r="AF58" t="str">
        <f t="shared" si="25"/>
        <v/>
      </c>
      <c r="AG58" t="str">
        <f t="shared" si="25"/>
        <v/>
      </c>
      <c r="AH58" t="str">
        <f t="shared" si="25"/>
        <v/>
      </c>
      <c r="AI58" t="str">
        <f t="shared" si="25"/>
        <v/>
      </c>
      <c r="AJ58" t="str">
        <f t="shared" si="26"/>
        <v/>
      </c>
      <c r="AK58" t="str">
        <f t="shared" si="26"/>
        <v/>
      </c>
      <c r="AL58" t="str">
        <f t="shared" si="26"/>
        <v/>
      </c>
      <c r="AM58" t="str">
        <f t="shared" si="26"/>
        <v/>
      </c>
      <c r="AN58" t="str">
        <f t="shared" si="26"/>
        <v/>
      </c>
      <c r="AO58" t="str">
        <f t="shared" si="26"/>
        <v/>
      </c>
      <c r="AP58" t="str">
        <f t="shared" si="26"/>
        <v/>
      </c>
      <c r="AQ58" t="str">
        <f t="shared" si="26"/>
        <v/>
      </c>
      <c r="AR58" t="str">
        <f t="shared" si="26"/>
        <v/>
      </c>
      <c r="AS58" t="str">
        <f t="shared" si="26"/>
        <v/>
      </c>
      <c r="AT58" t="str">
        <f t="shared" si="27"/>
        <v/>
      </c>
      <c r="AU58" t="str">
        <f t="shared" si="27"/>
        <v/>
      </c>
      <c r="AV58" t="str">
        <f t="shared" si="27"/>
        <v/>
      </c>
      <c r="AW58" t="str">
        <f t="shared" si="27"/>
        <v/>
      </c>
      <c r="AX58" t="str">
        <f t="shared" si="27"/>
        <v/>
      </c>
      <c r="AY58" t="str">
        <f t="shared" si="27"/>
        <v/>
      </c>
      <c r="AZ58" t="str">
        <f t="shared" si="27"/>
        <v/>
      </c>
      <c r="BA58" t="str">
        <f t="shared" si="27"/>
        <v/>
      </c>
      <c r="BB58" t="str">
        <f t="shared" si="27"/>
        <v/>
      </c>
      <c r="BC58" t="str">
        <f t="shared" si="27"/>
        <v/>
      </c>
      <c r="BD58" t="str">
        <f t="shared" si="28"/>
        <v/>
      </c>
      <c r="BE58" t="str">
        <f t="shared" si="28"/>
        <v/>
      </c>
      <c r="BF58" t="str">
        <f t="shared" si="28"/>
        <v/>
      </c>
      <c r="BG58" t="str">
        <f t="shared" si="28"/>
        <v/>
      </c>
      <c r="BH58" t="str">
        <f t="shared" si="28"/>
        <v/>
      </c>
      <c r="BI58" t="str">
        <f t="shared" si="28"/>
        <v/>
      </c>
      <c r="BJ58" t="str">
        <f t="shared" si="28"/>
        <v/>
      </c>
      <c r="BK58" t="str">
        <f t="shared" si="28"/>
        <v/>
      </c>
      <c r="BL58" t="str">
        <f t="shared" si="28"/>
        <v/>
      </c>
      <c r="BM58" t="str">
        <f t="shared" si="28"/>
        <v/>
      </c>
      <c r="BN58" t="str">
        <f t="shared" si="29"/>
        <v/>
      </c>
      <c r="BO58" t="str">
        <f t="shared" si="29"/>
        <v/>
      </c>
      <c r="BP58" t="str">
        <f t="shared" si="29"/>
        <v/>
      </c>
      <c r="BQ58" t="str">
        <f t="shared" si="29"/>
        <v/>
      </c>
      <c r="BR58" t="str">
        <f t="shared" si="29"/>
        <v/>
      </c>
      <c r="BS58" t="str">
        <f t="shared" si="29"/>
        <v/>
      </c>
      <c r="BT58" t="str">
        <f t="shared" si="29"/>
        <v/>
      </c>
      <c r="BU58" t="str">
        <f t="shared" si="29"/>
        <v/>
      </c>
      <c r="BV58" t="str">
        <f t="shared" si="29"/>
        <v/>
      </c>
      <c r="BW58" t="str">
        <f t="shared" si="29"/>
        <v/>
      </c>
    </row>
    <row r="59" spans="1:75" x14ac:dyDescent="0.25">
      <c r="A59" t="s">
        <v>157</v>
      </c>
      <c r="J59">
        <f>SUMIFS('Suivi Temps'!$D:$D,'Suivi Temps'!$A:$A,"P002-049")</f>
        <v>0</v>
      </c>
      <c r="P59" t="str">
        <f t="shared" si="24"/>
        <v/>
      </c>
      <c r="Q59" t="str">
        <f t="shared" si="24"/>
        <v/>
      </c>
      <c r="R59" t="str">
        <f t="shared" si="24"/>
        <v/>
      </c>
      <c r="S59" t="str">
        <f t="shared" si="24"/>
        <v/>
      </c>
      <c r="T59" t="str">
        <f t="shared" si="24"/>
        <v/>
      </c>
      <c r="U59" t="str">
        <f t="shared" si="24"/>
        <v/>
      </c>
      <c r="V59" t="str">
        <f t="shared" si="24"/>
        <v/>
      </c>
      <c r="W59" t="str">
        <f t="shared" si="24"/>
        <v/>
      </c>
      <c r="X59" t="str">
        <f t="shared" si="24"/>
        <v/>
      </c>
      <c r="Y59" t="str">
        <f t="shared" si="24"/>
        <v/>
      </c>
      <c r="Z59" t="str">
        <f t="shared" si="25"/>
        <v/>
      </c>
      <c r="AA59" t="str">
        <f t="shared" si="25"/>
        <v/>
      </c>
      <c r="AB59" t="str">
        <f t="shared" si="25"/>
        <v/>
      </c>
      <c r="AC59" t="str">
        <f t="shared" si="25"/>
        <v/>
      </c>
      <c r="AD59" t="str">
        <f t="shared" si="25"/>
        <v/>
      </c>
      <c r="AE59" t="str">
        <f t="shared" si="25"/>
        <v/>
      </c>
      <c r="AF59" t="str">
        <f t="shared" si="25"/>
        <v/>
      </c>
      <c r="AG59" t="str">
        <f t="shared" si="25"/>
        <v/>
      </c>
      <c r="AH59" t="str">
        <f t="shared" si="25"/>
        <v/>
      </c>
      <c r="AI59" t="str">
        <f t="shared" si="25"/>
        <v/>
      </c>
      <c r="AJ59" t="str">
        <f t="shared" si="26"/>
        <v/>
      </c>
      <c r="AK59" t="str">
        <f t="shared" si="26"/>
        <v/>
      </c>
      <c r="AL59" t="str">
        <f t="shared" si="26"/>
        <v/>
      </c>
      <c r="AM59" t="str">
        <f t="shared" si="26"/>
        <v/>
      </c>
      <c r="AN59" t="str">
        <f t="shared" si="26"/>
        <v/>
      </c>
      <c r="AO59" t="str">
        <f t="shared" si="26"/>
        <v/>
      </c>
      <c r="AP59" t="str">
        <f t="shared" si="26"/>
        <v/>
      </c>
      <c r="AQ59" t="str">
        <f t="shared" si="26"/>
        <v/>
      </c>
      <c r="AR59" t="str">
        <f t="shared" si="26"/>
        <v/>
      </c>
      <c r="AS59" t="str">
        <f t="shared" si="26"/>
        <v/>
      </c>
      <c r="AT59" t="str">
        <f t="shared" si="27"/>
        <v/>
      </c>
      <c r="AU59" t="str">
        <f t="shared" si="27"/>
        <v/>
      </c>
      <c r="AV59" t="str">
        <f t="shared" si="27"/>
        <v/>
      </c>
      <c r="AW59" t="str">
        <f t="shared" si="27"/>
        <v/>
      </c>
      <c r="AX59" t="str">
        <f t="shared" si="27"/>
        <v/>
      </c>
      <c r="AY59" t="str">
        <f t="shared" si="27"/>
        <v/>
      </c>
      <c r="AZ59" t="str">
        <f t="shared" si="27"/>
        <v/>
      </c>
      <c r="BA59" t="str">
        <f t="shared" si="27"/>
        <v/>
      </c>
      <c r="BB59" t="str">
        <f t="shared" si="27"/>
        <v/>
      </c>
      <c r="BC59" t="str">
        <f t="shared" si="27"/>
        <v/>
      </c>
      <c r="BD59" t="str">
        <f t="shared" si="28"/>
        <v/>
      </c>
      <c r="BE59" t="str">
        <f t="shared" si="28"/>
        <v/>
      </c>
      <c r="BF59" t="str">
        <f t="shared" si="28"/>
        <v/>
      </c>
      <c r="BG59" t="str">
        <f t="shared" si="28"/>
        <v/>
      </c>
      <c r="BH59" t="str">
        <f t="shared" si="28"/>
        <v/>
      </c>
      <c r="BI59" t="str">
        <f t="shared" si="28"/>
        <v/>
      </c>
      <c r="BJ59" t="str">
        <f t="shared" si="28"/>
        <v/>
      </c>
      <c r="BK59" t="str">
        <f t="shared" si="28"/>
        <v/>
      </c>
      <c r="BL59" t="str">
        <f t="shared" si="28"/>
        <v/>
      </c>
      <c r="BM59" t="str">
        <f t="shared" si="28"/>
        <v/>
      </c>
      <c r="BN59" t="str">
        <f t="shared" si="29"/>
        <v/>
      </c>
      <c r="BO59" t="str">
        <f t="shared" si="29"/>
        <v/>
      </c>
      <c r="BP59" t="str">
        <f t="shared" si="29"/>
        <v/>
      </c>
      <c r="BQ59" t="str">
        <f t="shared" si="29"/>
        <v/>
      </c>
      <c r="BR59" t="str">
        <f t="shared" si="29"/>
        <v/>
      </c>
      <c r="BS59" t="str">
        <f t="shared" si="29"/>
        <v/>
      </c>
      <c r="BT59" t="str">
        <f t="shared" si="29"/>
        <v/>
      </c>
      <c r="BU59" t="str">
        <f t="shared" si="29"/>
        <v/>
      </c>
      <c r="BV59" t="str">
        <f t="shared" si="29"/>
        <v/>
      </c>
      <c r="BW59" t="str">
        <f t="shared" si="29"/>
        <v/>
      </c>
    </row>
    <row r="60" spans="1:75" x14ac:dyDescent="0.25">
      <c r="A60" t="s">
        <v>158</v>
      </c>
      <c r="J60">
        <f>SUMIFS('Suivi Temps'!$D:$D,'Suivi Temps'!$A:$A,"P002-050")</f>
        <v>0</v>
      </c>
      <c r="P60" t="str">
        <f t="shared" si="24"/>
        <v/>
      </c>
      <c r="Q60" t="str">
        <f t="shared" si="24"/>
        <v/>
      </c>
      <c r="R60" t="str">
        <f t="shared" si="24"/>
        <v/>
      </c>
      <c r="S60" t="str">
        <f t="shared" si="24"/>
        <v/>
      </c>
      <c r="T60" t="str">
        <f t="shared" si="24"/>
        <v/>
      </c>
      <c r="U60" t="str">
        <f t="shared" si="24"/>
        <v/>
      </c>
      <c r="V60" t="str">
        <f t="shared" si="24"/>
        <v/>
      </c>
      <c r="W60" t="str">
        <f t="shared" si="24"/>
        <v/>
      </c>
      <c r="X60" t="str">
        <f t="shared" si="24"/>
        <v/>
      </c>
      <c r="Y60" t="str">
        <f t="shared" si="24"/>
        <v/>
      </c>
      <c r="Z60" t="str">
        <f t="shared" si="25"/>
        <v/>
      </c>
      <c r="AA60" t="str">
        <f t="shared" si="25"/>
        <v/>
      </c>
      <c r="AB60" t="str">
        <f t="shared" si="25"/>
        <v/>
      </c>
      <c r="AC60" t="str">
        <f t="shared" si="25"/>
        <v/>
      </c>
      <c r="AD60" t="str">
        <f t="shared" si="25"/>
        <v/>
      </c>
      <c r="AE60" t="str">
        <f t="shared" si="25"/>
        <v/>
      </c>
      <c r="AF60" t="str">
        <f t="shared" si="25"/>
        <v/>
      </c>
      <c r="AG60" t="str">
        <f t="shared" si="25"/>
        <v/>
      </c>
      <c r="AH60" t="str">
        <f t="shared" si="25"/>
        <v/>
      </c>
      <c r="AI60" t="str">
        <f t="shared" si="25"/>
        <v/>
      </c>
      <c r="AJ60" t="str">
        <f t="shared" si="26"/>
        <v/>
      </c>
      <c r="AK60" t="str">
        <f t="shared" si="26"/>
        <v/>
      </c>
      <c r="AL60" t="str">
        <f t="shared" si="26"/>
        <v/>
      </c>
      <c r="AM60" t="str">
        <f t="shared" si="26"/>
        <v/>
      </c>
      <c r="AN60" t="str">
        <f t="shared" si="26"/>
        <v/>
      </c>
      <c r="AO60" t="str">
        <f t="shared" si="26"/>
        <v/>
      </c>
      <c r="AP60" t="str">
        <f t="shared" si="26"/>
        <v/>
      </c>
      <c r="AQ60" t="str">
        <f t="shared" si="26"/>
        <v/>
      </c>
      <c r="AR60" t="str">
        <f t="shared" si="26"/>
        <v/>
      </c>
      <c r="AS60" t="str">
        <f t="shared" si="26"/>
        <v/>
      </c>
      <c r="AT60" t="str">
        <f t="shared" si="27"/>
        <v/>
      </c>
      <c r="AU60" t="str">
        <f t="shared" si="27"/>
        <v/>
      </c>
      <c r="AV60" t="str">
        <f t="shared" si="27"/>
        <v/>
      </c>
      <c r="AW60" t="str">
        <f t="shared" si="27"/>
        <v/>
      </c>
      <c r="AX60" t="str">
        <f t="shared" si="27"/>
        <v/>
      </c>
      <c r="AY60" t="str">
        <f t="shared" si="27"/>
        <v/>
      </c>
      <c r="AZ60" t="str">
        <f t="shared" si="27"/>
        <v/>
      </c>
      <c r="BA60" t="str">
        <f t="shared" si="27"/>
        <v/>
      </c>
      <c r="BB60" t="str">
        <f t="shared" si="27"/>
        <v/>
      </c>
      <c r="BC60" t="str">
        <f t="shared" si="27"/>
        <v/>
      </c>
      <c r="BD60" t="str">
        <f t="shared" si="28"/>
        <v/>
      </c>
      <c r="BE60" t="str">
        <f t="shared" si="28"/>
        <v/>
      </c>
      <c r="BF60" t="str">
        <f t="shared" si="28"/>
        <v/>
      </c>
      <c r="BG60" t="str">
        <f t="shared" si="28"/>
        <v/>
      </c>
      <c r="BH60" t="str">
        <f t="shared" si="28"/>
        <v/>
      </c>
      <c r="BI60" t="str">
        <f t="shared" si="28"/>
        <v/>
      </c>
      <c r="BJ60" t="str">
        <f t="shared" si="28"/>
        <v/>
      </c>
      <c r="BK60" t="str">
        <f t="shared" si="28"/>
        <v/>
      </c>
      <c r="BL60" t="str">
        <f t="shared" si="28"/>
        <v/>
      </c>
      <c r="BM60" t="str">
        <f t="shared" si="28"/>
        <v/>
      </c>
      <c r="BN60" t="str">
        <f t="shared" si="29"/>
        <v/>
      </c>
      <c r="BO60" t="str">
        <f t="shared" si="29"/>
        <v/>
      </c>
      <c r="BP60" t="str">
        <f t="shared" si="29"/>
        <v/>
      </c>
      <c r="BQ60" t="str">
        <f t="shared" si="29"/>
        <v/>
      </c>
      <c r="BR60" t="str">
        <f t="shared" si="29"/>
        <v/>
      </c>
      <c r="BS60" t="str">
        <f t="shared" si="29"/>
        <v/>
      </c>
      <c r="BT60" t="str">
        <f t="shared" si="29"/>
        <v/>
      </c>
      <c r="BU60" t="str">
        <f t="shared" si="29"/>
        <v/>
      </c>
      <c r="BV60" t="str">
        <f t="shared" si="29"/>
        <v/>
      </c>
      <c r="BW60" t="str">
        <f t="shared" si="29"/>
        <v/>
      </c>
    </row>
    <row r="61" spans="1:75" x14ac:dyDescent="0.25">
      <c r="A61" t="s">
        <v>159</v>
      </c>
      <c r="J61">
        <f>SUMIFS('Suivi Temps'!$D:$D,'Suivi Temps'!$A:$A,"P002-051")</f>
        <v>0</v>
      </c>
      <c r="P61" t="str">
        <f t="shared" si="24"/>
        <v/>
      </c>
      <c r="Q61" t="str">
        <f t="shared" si="24"/>
        <v/>
      </c>
      <c r="R61" t="str">
        <f t="shared" si="24"/>
        <v/>
      </c>
      <c r="S61" t="str">
        <f t="shared" si="24"/>
        <v/>
      </c>
      <c r="T61" t="str">
        <f t="shared" si="24"/>
        <v/>
      </c>
      <c r="U61" t="str">
        <f t="shared" si="24"/>
        <v/>
      </c>
      <c r="V61" t="str">
        <f t="shared" si="24"/>
        <v/>
      </c>
      <c r="W61" t="str">
        <f t="shared" si="24"/>
        <v/>
      </c>
      <c r="X61" t="str">
        <f t="shared" si="24"/>
        <v/>
      </c>
      <c r="Y61" t="str">
        <f t="shared" si="24"/>
        <v/>
      </c>
      <c r="Z61" t="str">
        <f t="shared" si="25"/>
        <v/>
      </c>
      <c r="AA61" t="str">
        <f t="shared" si="25"/>
        <v/>
      </c>
      <c r="AB61" t="str">
        <f t="shared" si="25"/>
        <v/>
      </c>
      <c r="AC61" t="str">
        <f t="shared" si="25"/>
        <v/>
      </c>
      <c r="AD61" t="str">
        <f t="shared" si="25"/>
        <v/>
      </c>
      <c r="AE61" t="str">
        <f t="shared" si="25"/>
        <v/>
      </c>
      <c r="AF61" t="str">
        <f t="shared" si="25"/>
        <v/>
      </c>
      <c r="AG61" t="str">
        <f t="shared" si="25"/>
        <v/>
      </c>
      <c r="AH61" t="str">
        <f t="shared" si="25"/>
        <v/>
      </c>
      <c r="AI61" t="str">
        <f t="shared" si="25"/>
        <v/>
      </c>
      <c r="AJ61" t="str">
        <f t="shared" si="26"/>
        <v/>
      </c>
      <c r="AK61" t="str">
        <f t="shared" si="26"/>
        <v/>
      </c>
      <c r="AL61" t="str">
        <f t="shared" si="26"/>
        <v/>
      </c>
      <c r="AM61" t="str">
        <f t="shared" si="26"/>
        <v/>
      </c>
      <c r="AN61" t="str">
        <f t="shared" si="26"/>
        <v/>
      </c>
      <c r="AO61" t="str">
        <f t="shared" si="26"/>
        <v/>
      </c>
      <c r="AP61" t="str">
        <f t="shared" si="26"/>
        <v/>
      </c>
      <c r="AQ61" t="str">
        <f t="shared" si="26"/>
        <v/>
      </c>
      <c r="AR61" t="str">
        <f t="shared" si="26"/>
        <v/>
      </c>
      <c r="AS61" t="str">
        <f t="shared" si="26"/>
        <v/>
      </c>
      <c r="AT61" t="str">
        <f t="shared" si="27"/>
        <v/>
      </c>
      <c r="AU61" t="str">
        <f t="shared" si="27"/>
        <v/>
      </c>
      <c r="AV61" t="str">
        <f t="shared" si="27"/>
        <v/>
      </c>
      <c r="AW61" t="str">
        <f t="shared" si="27"/>
        <v/>
      </c>
      <c r="AX61" t="str">
        <f t="shared" si="27"/>
        <v/>
      </c>
      <c r="AY61" t="str">
        <f t="shared" si="27"/>
        <v/>
      </c>
      <c r="AZ61" t="str">
        <f t="shared" si="27"/>
        <v/>
      </c>
      <c r="BA61" t="str">
        <f t="shared" si="27"/>
        <v/>
      </c>
      <c r="BB61" t="str">
        <f t="shared" si="27"/>
        <v/>
      </c>
      <c r="BC61" t="str">
        <f t="shared" si="27"/>
        <v/>
      </c>
      <c r="BD61" t="str">
        <f t="shared" si="28"/>
        <v/>
      </c>
      <c r="BE61" t="str">
        <f t="shared" si="28"/>
        <v/>
      </c>
      <c r="BF61" t="str">
        <f t="shared" si="28"/>
        <v/>
      </c>
      <c r="BG61" t="str">
        <f t="shared" si="28"/>
        <v/>
      </c>
      <c r="BH61" t="str">
        <f t="shared" si="28"/>
        <v/>
      </c>
      <c r="BI61" t="str">
        <f t="shared" si="28"/>
        <v/>
      </c>
      <c r="BJ61" t="str">
        <f t="shared" si="28"/>
        <v/>
      </c>
      <c r="BK61" t="str">
        <f t="shared" si="28"/>
        <v/>
      </c>
      <c r="BL61" t="str">
        <f t="shared" si="28"/>
        <v/>
      </c>
      <c r="BM61" t="str">
        <f t="shared" si="28"/>
        <v/>
      </c>
      <c r="BN61" t="str">
        <f t="shared" si="29"/>
        <v/>
      </c>
      <c r="BO61" t="str">
        <f t="shared" si="29"/>
        <v/>
      </c>
      <c r="BP61" t="str">
        <f t="shared" si="29"/>
        <v/>
      </c>
      <c r="BQ61" t="str">
        <f t="shared" si="29"/>
        <v/>
      </c>
      <c r="BR61" t="str">
        <f t="shared" si="29"/>
        <v/>
      </c>
      <c r="BS61" t="str">
        <f t="shared" si="29"/>
        <v/>
      </c>
      <c r="BT61" t="str">
        <f t="shared" si="29"/>
        <v/>
      </c>
      <c r="BU61" t="str">
        <f t="shared" si="29"/>
        <v/>
      </c>
      <c r="BV61" t="str">
        <f t="shared" si="29"/>
        <v/>
      </c>
      <c r="BW61" t="str">
        <f t="shared" si="29"/>
        <v/>
      </c>
    </row>
  </sheetData>
  <mergeCells count="1">
    <mergeCell ref="A1:N1"/>
  </mergeCells>
  <conditionalFormatting sqref="P11:BW61">
    <cfRule type="expression" dxfId="0" priority="1">
      <formula>AND($E11&lt;&gt;"",$F11&lt;&gt;"",P$9&gt;=$E11,P$9&lt;=$F11)</formula>
    </cfRule>
  </conditionalFormatting>
  <dataValidations count="1">
    <dataValidation type="list" allowBlank="1" showErrorMessage="1" sqref="C11:C61 M11:M61" xr:uid="{00000000-0002-0000-0500-000001000000}">
      <formula1>$A$11:$A$61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500-000000000000}">
          <x14:formula1>
            <xm:f>Listes!$A$2:$A$5</xm:f>
          </x14:formula1>
          <xm:sqref>B11:B61</xm:sqref>
        </x14:dataValidation>
        <x14:dataValidation type="list" allowBlank="1" showErrorMessage="1" xr:uid="{00000000-0002-0000-0500-000002000000}">
          <x14:formula1>
            <xm:f>Utilisateurs!$A$2:$A$100</xm:f>
          </x14:formula1>
          <xm:sqref>I11:I61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Récap Projets</vt:lpstr>
      <vt:lpstr>Utilisateurs</vt:lpstr>
      <vt:lpstr>Suivi Temps</vt:lpstr>
      <vt:lpstr>Listes</vt:lpstr>
      <vt:lpstr>Projet_001</vt:lpstr>
      <vt:lpstr>Projet_002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Benoit Gantiez</cp:lastModifiedBy>
  <dcterms:modified xsi:type="dcterms:W3CDTF">2026-06-26T14:47:03Z</dcterms:modified>
</cp:coreProperties>
</file>