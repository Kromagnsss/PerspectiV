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sheets>
    <sheet name="Récap Projets" sheetId="1" r:id="rId1"/>
    <sheet name="Utilisateurs" sheetId="2" r:id="rId2"/>
    <sheet name="Suivi Temps" sheetId="3" r:id="rId3"/>
    <sheet name="Listes" sheetId="4" r:id="rId4"/>
    <sheet name="Projet_001" sheetId="5" r:id="rId5"/>
    <sheet name="Projet_002" sheetId="6" r:id="rId6"/>
  </sheets>
  <calcPr calcId="191029" fullCalcOnLoad="1"/>
</workbook>
</file>

<file path=xl/styles.xml><?xml version="1.0" encoding="utf-8"?>
<styleSheet xmlns="http://schemas.openxmlformats.org/spreadsheetml/2006/main">
  <fonts count="2">
    <font>
      <sz val="11"/>
      <name val="Calibri"/>
    </font>
    <font>
      <b/>
      <sz val="16"/>
      <name val="Calibri"/>
    </font>
  </fonts>
  <fills count="3">
    <fill>
      <patternFill patternType="none"/>
    </fill>
    <fill>
      <patternFill patternType="gray125"/>
    </fill>
    <fill>
      <patternFill patternType="solid">
        <fgColor rgb="FF5B9BD5"/>
      </patternFill>
    </fill>
  </fills>
  <borders count="1">
    <border/>
  </borders>
  <cellStyleXfs count="1">
    <xf numFmtId="0" fontId="0" fillId="0" borderId="0"/>
  </cellStyleXfs>
  <cellXfs count="4">
    <xf numFmtId="0" fontId="0" fillId="0" borderId="0" xfId="0"/>
    <xf numFmtId="0" fontId="1" fillId="0" borderId="0" xfId="0"/>
    <xf numFmtId="0" fontId="0" fillId="2" borderId="0" xfId="0"/>
    <xf numFmtId="14" fontId="0" fillId="0" borderId="0" xfId="0" applyNumberFormat="1"/>
  </cellXfs>
  <dxfs count="1">
    <dxf>
      <fill>
        <patternFill patternType="solid">
          <fgColor rgb="FF70AD47"/>
        </patternFill>
      </fill>
    </dxf>
  </dxfs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styles" Target="styles.xml"/></Relationships>
</file>

<file path=xl/worksheets/sheet1.xml><?xml version="1.0" encoding="utf-8"?>
<worksheet xmlns="http://schemas.openxmlformats.org/spreadsheetml/2006/main" xmlns:r="http://schemas.openxmlformats.org/officeDocument/2006/relationships">
  <cols>
    <col min="1" max="1" width="12" customWidth="1"/>
    <col min="2" max="2" width="24" customWidth="1"/>
    <col min="3" max="3" width="18" customWidth="1"/>
    <col min="4" max="4" width="14" customWidth="1"/>
    <col min="5" max="5" width="14" customWidth="1"/>
    <col min="6" max="6" width="12" customWidth="1"/>
  </cols>
  <sheetData>
    <row r="1">
      <c r="A1" s="1" t="inlineStr">
        <is>
          <t>Gestion multi-projets</t>
        </is>
      </c>
    </row>
    <row r="2"/>
    <row r="3">
      <c r="A3" s="0" t="inlineStr">
        <is>
          <t>ID Projet</t>
        </is>
      </c>
      <c r="B3" s="0" t="inlineStr">
        <is>
          <t>Nom</t>
        </is>
      </c>
      <c r="C3" s="0" t="inlineStr">
        <is>
          <t>Chef de projet</t>
        </is>
      </c>
      <c r="D3" s="0" t="inlineStr">
        <is>
          <t>Statut</t>
        </is>
      </c>
      <c r="E3" s="0" t="inlineStr">
        <is>
          <t>Onglet</t>
        </is>
      </c>
      <c r="F3" s="0" t="inlineStr">
        <is>
          <t>Lien</t>
        </is>
      </c>
    </row>
    <row r="4">
      <c r="A4" s="0" t="inlineStr">
        <is>
          <t>P001</t>
        </is>
      </c>
      <c r="B4" s="0" t="inlineStr">
        <is>
          <t>Projet pilote</t>
        </is>
      </c>
      <c r="C4" s="0" t="inlineStr">
        <is>
          <t>Alice Martin</t>
        </is>
      </c>
      <c r="D4" s="0" t="inlineStr">
        <is>
          <t>En cours</t>
        </is>
      </c>
      <c r="E4" s="0" t="inlineStr">
        <is>
          <t>Projet_001</t>
        </is>
      </c>
      <c r="F4" s="0" t="inlineStr">
        <is>
          <t>Ouvrir</t>
        </is>
      </c>
    </row>
    <row r="5">
      <c r="A5" s="0" t="inlineStr">
        <is>
          <t>P002</t>
        </is>
      </c>
      <c r="B5" s="0" t="inlineStr">
        <is>
          <t>Projet client</t>
        </is>
      </c>
      <c r="C5" s="0" t="inlineStr">
        <is>
          <t>Karim Benali</t>
        </is>
      </c>
      <c r="D5" s="0" t="inlineStr">
        <is>
          <t>À lancer</t>
        </is>
      </c>
      <c r="E5" s="0" t="inlineStr">
        <is>
          <t>Projet_002</t>
        </is>
      </c>
      <c r="F5" s="0" t="inlineStr">
        <is>
          <t>Ouvrir</t>
        </is>
      </c>
    </row>
  </sheetData>
  <mergeCells count="1">
    <mergeCell ref="A1:F1"/>
  </mergeCells>
  <hyperlinks>
    <hyperlink ref="F4" location="'Projet_001'!A1" display="Ouvrir"/>
    <hyperlink ref="F5" location="'Projet_002'!A1" display="Ouvrir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cols>
    <col min="1" max="1" width="24" customWidth="1"/>
    <col min="2" max="2" width="22" customWidth="1"/>
    <col min="3" max="3" width="14" customWidth="1"/>
    <col min="4" max="4" width="24" customWidth="1"/>
  </cols>
  <sheetData>
    <row r="1">
      <c r="A1" s="1" t="inlineStr">
        <is>
          <t>Utilisateurs</t>
        </is>
      </c>
    </row>
    <row r="2"/>
    <row r="3">
      <c r="A3" s="0" t="inlineStr">
        <is>
          <t>Nom</t>
        </is>
      </c>
      <c r="B3" s="0" t="inlineStr">
        <is>
          <t>Rôle</t>
        </is>
      </c>
      <c r="C3" s="0" t="inlineStr">
        <is>
          <t>Taux horaire</t>
        </is>
      </c>
      <c r="D3" s="0" t="inlineStr">
        <is>
          <t>Email</t>
        </is>
      </c>
    </row>
    <row r="4">
      <c r="A4" s="0" t="inlineStr">
        <is>
          <t>Alice Martin</t>
        </is>
      </c>
      <c r="B4" s="0" t="inlineStr">
        <is>
          <t>Chef de projet</t>
        </is>
      </c>
      <c r="C4" s="0">
        <v>95</v>
      </c>
      <c r="D4" s="0" t="inlineStr">
        <is>
          <t>alice@example.com</t>
        </is>
      </c>
    </row>
    <row r="5">
      <c r="A5" s="0" t="inlineStr">
        <is>
          <t>Karim Benali</t>
        </is>
      </c>
      <c r="B5" s="0" t="inlineStr">
        <is>
          <t>Analyste</t>
        </is>
      </c>
      <c r="C5" s="0">
        <v>75</v>
      </c>
      <c r="D5" s="0" t="inlineStr">
        <is>
          <t>karim@example.com</t>
        </is>
      </c>
    </row>
    <row r="6">
      <c r="A6" s="0" t="inlineStr">
        <is>
          <t>Léa Dubois</t>
        </is>
      </c>
      <c r="B6" s="0" t="inlineStr">
        <is>
          <t>Développeuse</t>
        </is>
      </c>
      <c r="C6" s="0">
        <v>80</v>
      </c>
      <c r="D6" s="0" t="inlineStr">
        <is>
          <t>lea@example.com</t>
        </is>
      </c>
    </row>
    <row r="7">
      <c r="A7" s="0" t="inlineStr">
        <is>
          <t>Nina Rossi</t>
        </is>
      </c>
      <c r="B7" s="0" t="inlineStr">
        <is>
          <t>QA / Déploiement</t>
        </is>
      </c>
      <c r="C7" s="0">
        <v>70</v>
      </c>
      <c r="D7" s="0" t="inlineStr">
        <is>
          <t>nina@example.com</t>
        </is>
      </c>
    </row>
  </sheetData>
  <mergeCells count="1">
    <mergeCell ref="A1:D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cols>
    <col min="1" max="1" width="14" customWidth="1"/>
    <col min="2" max="2" width="24" customWidth="1"/>
    <col min="3" max="3" width="12" customWidth="1"/>
    <col min="4" max="4" width="18" customWidth="1"/>
    <col min="5" max="5" width="40" customWidth="1"/>
  </cols>
  <sheetData>
    <row r="1">
      <c r="A1" s="1" t="inlineStr">
        <is>
          <t>Suivi des temps</t>
        </is>
      </c>
    </row>
    <row r="2"/>
    <row r="3">
      <c r="A3" s="0" t="inlineStr">
        <is>
          <t>Réf. tâche</t>
        </is>
      </c>
      <c r="B3" s="0" t="inlineStr">
        <is>
          <t>Utilisateur</t>
        </is>
      </c>
      <c r="C3" s="0" t="inlineStr">
        <is>
          <t>Date</t>
        </is>
      </c>
      <c r="D3" s="0" t="inlineStr">
        <is>
          <t>Heures effectives</t>
        </is>
      </c>
      <c r="E3" s="0" t="inlineStr">
        <is>
          <t>Commentaire</t>
        </is>
      </c>
    </row>
    <row r="4">
      <c r="A4" s="0" t="inlineStr">
        <is>
          <t>P001-002</t>
        </is>
      </c>
      <c r="B4" s="0" t="inlineStr">
        <is>
          <t>Alice Martin</t>
        </is>
      </c>
      <c r="C4" s="3">
        <v>46205</v>
      </c>
      <c r="D4" s="0">
        <v>3</v>
      </c>
      <c r="E4" s="0" t="inlineStr">
        <is>
          <t>Kick-off</t>
        </is>
      </c>
    </row>
    <row r="5">
      <c r="A5" s="0" t="inlineStr">
        <is>
          <t>P001-003</t>
        </is>
      </c>
      <c r="B5" s="0" t="inlineStr">
        <is>
          <t>Karim Benali</t>
        </is>
      </c>
      <c r="C5" s="3">
        <v>46209</v>
      </c>
      <c r="D5" s="0">
        <v>5</v>
      </c>
      <c r="E5" s="0" t="inlineStr">
        <is>
          <t>Entretiens</t>
        </is>
      </c>
    </row>
  </sheetData>
  <mergeCells count="1">
    <mergeCell ref="A1:E1"/>
  </mergeCells>
  <dataValidations count="2">
    <dataValidation type="list" allowBlank="1" showErrorMessage="1" sqref="A4:A500">
      <formula1>Listes!$E$2:$E$200</formula1>
    </dataValidation>
    <dataValidation type="list" allowBlank="1" showErrorMessage="1" sqref="B4:B500">
      <formula1>Utilisateurs!$A$2:$A$100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cols>
    <col min="1" max="1" width="10" customWidth="1"/>
    <col min="2" max="2" width="16" customWidth="1"/>
    <col min="3" max="3" width="90" customWidth="1"/>
  </cols>
  <sheetData>
    <row r="1">
      <c r="A1" s="0" t="inlineStr">
        <is>
          <t>Niveaux</t>
        </is>
      </c>
      <c r="B1" s="0" t="inlineStr">
        <is>
          <t>Statuts</t>
        </is>
      </c>
      <c r="C1" s="0" t="inlineStr">
        <is>
          <t>Aide</t>
        </is>
      </c>
    </row>
    <row r="2">
      <c r="A2" s="0">
        <v>1</v>
      </c>
      <c r="B2" s="0" t="inlineStr">
        <is>
          <t>À lancer</t>
        </is>
      </c>
      <c r="C2" s="0" t="inlineStr">
        <is>
          <t>Les ressources utilisent une liste déroulante utilisateur; séparez plusieurs noms par ;</t>
        </is>
      </c>
    </row>
    <row r="3">
      <c r="A3" s="0">
        <v>2</v>
      </c>
      <c r="B3" s="0" t="inlineStr">
        <is>
          <t>En cours</t>
        </is>
      </c>
      <c r="C3" s="0" t="inlineStr">
        <is>
          <t>Les temps passés sont calculés avec SUMIFS depuis Suivi Temps.</t>
        </is>
      </c>
    </row>
    <row r="4">
      <c r="A4" s="0">
        <v>3</v>
      </c>
      <c r="B4" s="0" t="inlineStr">
        <is>
          <t>Terminé</t>
        </is>
      </c>
      <c r="C4" s="0" t="inlineStr">
        <is>
          <t>Les colonnes Parent et Prédécesseurs stockent les liens parent/enfant et dépendances Gantt.</t>
        </is>
      </c>
    </row>
    <row r="5">
      <c r="A5" s="0">
        <v>4</v>
      </c>
      <c r="B5" s="0" t="inlineStr">
        <is>
          <t>En retard</t>
        </is>
      </c>
      <c r="C5" s="0" t="inlineStr">
        <is>
          <t>Ajoutez de nouveaux onglets projet en dupliquant un onglet Projet_XXX.</t>
        </is>
      </c>
    </row>
    <row r="2">
      <c r="E2" t="inlineStr">
        <is>
          <t>P001-001</t>
        </is>
      </c>
    </row>
    <row r="3">
      <c r="E3" t="inlineStr">
        <is>
          <t>P001-002</t>
        </is>
      </c>
    </row>
    <row r="4">
      <c r="E4" t="inlineStr">
        <is>
          <t>P001-003</t>
        </is>
      </c>
    </row>
    <row r="5">
      <c r="E5" t="inlineStr">
        <is>
          <t>P001-004</t>
        </is>
      </c>
    </row>
    <row r="6">
      <c r="E6" t="inlineStr">
        <is>
          <t>P001-005</t>
        </is>
      </c>
    </row>
    <row r="7">
      <c r="E7" t="inlineStr">
        <is>
          <t>P001-006</t>
        </is>
      </c>
    </row>
    <row r="8">
      <c r="E8" t="inlineStr">
        <is>
          <t>P001-007</t>
        </is>
      </c>
    </row>
    <row r="9">
      <c r="E9" t="inlineStr">
        <is>
          <t>P001-008</t>
        </is>
      </c>
    </row>
    <row r="10">
      <c r="E10" t="inlineStr">
        <is>
          <t>P001-009</t>
        </is>
      </c>
    </row>
    <row r="11">
      <c r="E11" t="inlineStr">
        <is>
          <t>P001-010</t>
        </is>
      </c>
    </row>
    <row r="12">
      <c r="E12" t="inlineStr">
        <is>
          <t>P001-011</t>
        </is>
      </c>
    </row>
    <row r="13">
      <c r="E13" t="inlineStr">
        <is>
          <t>P001-012</t>
        </is>
      </c>
    </row>
    <row r="14">
      <c r="E14" t="inlineStr">
        <is>
          <t>P001-013</t>
        </is>
      </c>
    </row>
    <row r="15">
      <c r="E15" t="inlineStr">
        <is>
          <t>P001-014</t>
        </is>
      </c>
    </row>
    <row r="16">
      <c r="E16" t="inlineStr">
        <is>
          <t>P001-015</t>
        </is>
      </c>
    </row>
    <row r="17">
      <c r="E17" t="inlineStr">
        <is>
          <t>P001-016</t>
        </is>
      </c>
    </row>
    <row r="18">
      <c r="E18" t="inlineStr">
        <is>
          <t>P001-017</t>
        </is>
      </c>
    </row>
    <row r="19">
      <c r="E19" t="inlineStr">
        <is>
          <t>P001-018</t>
        </is>
      </c>
    </row>
    <row r="20">
      <c r="E20" t="inlineStr">
        <is>
          <t>P001-019</t>
        </is>
      </c>
    </row>
    <row r="21">
      <c r="E21" t="inlineStr">
        <is>
          <t>P001-020</t>
        </is>
      </c>
    </row>
    <row r="22">
      <c r="E22" t="inlineStr">
        <is>
          <t>P001-021</t>
        </is>
      </c>
    </row>
    <row r="23">
      <c r="E23" t="inlineStr">
        <is>
          <t>P001-022</t>
        </is>
      </c>
    </row>
    <row r="24">
      <c r="E24" t="inlineStr">
        <is>
          <t>P001-023</t>
        </is>
      </c>
    </row>
    <row r="25">
      <c r="E25" t="inlineStr">
        <is>
          <t>P001-024</t>
        </is>
      </c>
    </row>
    <row r="26">
      <c r="E26" t="inlineStr">
        <is>
          <t>P001-025</t>
        </is>
      </c>
    </row>
    <row r="27">
      <c r="E27" t="inlineStr">
        <is>
          <t>P001-026</t>
        </is>
      </c>
    </row>
    <row r="28">
      <c r="E28" t="inlineStr">
        <is>
          <t>P001-027</t>
        </is>
      </c>
    </row>
    <row r="29">
      <c r="E29" t="inlineStr">
        <is>
          <t>P001-028</t>
        </is>
      </c>
    </row>
    <row r="30">
      <c r="E30" t="inlineStr">
        <is>
          <t>P001-029</t>
        </is>
      </c>
    </row>
    <row r="31">
      <c r="E31" t="inlineStr">
        <is>
          <t>P001-030</t>
        </is>
      </c>
    </row>
    <row r="32">
      <c r="E32" t="inlineStr">
        <is>
          <t>P001-031</t>
        </is>
      </c>
    </row>
    <row r="33">
      <c r="E33" t="inlineStr">
        <is>
          <t>P001-032</t>
        </is>
      </c>
    </row>
    <row r="34">
      <c r="E34" t="inlineStr">
        <is>
          <t>P001-033</t>
        </is>
      </c>
    </row>
    <row r="35">
      <c r="E35" t="inlineStr">
        <is>
          <t>P001-034</t>
        </is>
      </c>
    </row>
    <row r="36">
      <c r="E36" t="inlineStr">
        <is>
          <t>P001-035</t>
        </is>
      </c>
    </row>
    <row r="37">
      <c r="E37" t="inlineStr">
        <is>
          <t>P001-036</t>
        </is>
      </c>
    </row>
    <row r="38">
      <c r="E38" t="inlineStr">
        <is>
          <t>P001-037</t>
        </is>
      </c>
    </row>
    <row r="39">
      <c r="E39" t="inlineStr">
        <is>
          <t>P001-038</t>
        </is>
      </c>
    </row>
    <row r="40">
      <c r="E40" t="inlineStr">
        <is>
          <t>P001-039</t>
        </is>
      </c>
    </row>
    <row r="41">
      <c r="E41" t="inlineStr">
        <is>
          <t>P001-040</t>
        </is>
      </c>
    </row>
    <row r="42">
      <c r="E42" t="inlineStr">
        <is>
          <t>P001-041</t>
        </is>
      </c>
    </row>
    <row r="43">
      <c r="E43" t="inlineStr">
        <is>
          <t>P001-042</t>
        </is>
      </c>
    </row>
    <row r="44">
      <c r="E44" t="inlineStr">
        <is>
          <t>P001-043</t>
        </is>
      </c>
    </row>
    <row r="45">
      <c r="E45" t="inlineStr">
        <is>
          <t>P001-044</t>
        </is>
      </c>
    </row>
    <row r="46">
      <c r="E46" t="inlineStr">
        <is>
          <t>P001-045</t>
        </is>
      </c>
    </row>
    <row r="47">
      <c r="E47" t="inlineStr">
        <is>
          <t>P001-046</t>
        </is>
      </c>
    </row>
    <row r="48">
      <c r="E48" t="inlineStr">
        <is>
          <t>P001-047</t>
        </is>
      </c>
    </row>
    <row r="49">
      <c r="E49" t="inlineStr">
        <is>
          <t>P001-048</t>
        </is>
      </c>
    </row>
    <row r="50">
      <c r="E50" t="inlineStr">
        <is>
          <t>P001-049</t>
        </is>
      </c>
    </row>
    <row r="51">
      <c r="E51" t="inlineStr">
        <is>
          <t>P001-050</t>
        </is>
      </c>
    </row>
    <row r="52">
      <c r="E52" t="inlineStr">
        <is>
          <t>P001-051</t>
        </is>
      </c>
    </row>
    <row r="53">
      <c r="E53" t="inlineStr">
        <is>
          <t>P001-052</t>
        </is>
      </c>
    </row>
    <row r="54">
      <c r="E54" t="inlineStr">
        <is>
          <t>P001-053</t>
        </is>
      </c>
    </row>
    <row r="55">
      <c r="E55" t="inlineStr">
        <is>
          <t>P001-054</t>
        </is>
      </c>
    </row>
    <row r="56">
      <c r="E56" t="inlineStr">
        <is>
          <t>P001-055</t>
        </is>
      </c>
    </row>
    <row r="57">
      <c r="E57" t="inlineStr">
        <is>
          <t>P001-056</t>
        </is>
      </c>
    </row>
    <row r="58">
      <c r="E58" t="inlineStr">
        <is>
          <t>P001-057</t>
        </is>
      </c>
    </row>
    <row r="59">
      <c r="E59" t="inlineStr">
        <is>
          <t>P001-058</t>
        </is>
      </c>
    </row>
    <row r="60">
      <c r="E60" t="inlineStr">
        <is>
          <t>P001-059</t>
        </is>
      </c>
    </row>
    <row r="61">
      <c r="E61" t="inlineStr">
        <is>
          <t>P001-060</t>
        </is>
      </c>
    </row>
    <row r="62">
      <c r="E62" t="inlineStr">
        <is>
          <t>P002-001</t>
        </is>
      </c>
    </row>
    <row r="63">
      <c r="E63" t="inlineStr">
        <is>
          <t>P002-002</t>
        </is>
      </c>
    </row>
    <row r="64">
      <c r="E64" t="inlineStr">
        <is>
          <t>P002-003</t>
        </is>
      </c>
    </row>
    <row r="65">
      <c r="E65" t="inlineStr">
        <is>
          <t>P002-004</t>
        </is>
      </c>
    </row>
    <row r="66">
      <c r="E66" t="inlineStr">
        <is>
          <t>P002-005</t>
        </is>
      </c>
    </row>
    <row r="67">
      <c r="E67" t="inlineStr">
        <is>
          <t>P002-006</t>
        </is>
      </c>
    </row>
    <row r="68">
      <c r="E68" t="inlineStr">
        <is>
          <t>P002-007</t>
        </is>
      </c>
    </row>
    <row r="69">
      <c r="E69" t="inlineStr">
        <is>
          <t>P002-008</t>
        </is>
      </c>
    </row>
    <row r="70">
      <c r="E70" t="inlineStr">
        <is>
          <t>P002-009</t>
        </is>
      </c>
    </row>
    <row r="71">
      <c r="E71" t="inlineStr">
        <is>
          <t>P002-010</t>
        </is>
      </c>
    </row>
    <row r="72">
      <c r="E72" t="inlineStr">
        <is>
          <t>P002-011</t>
        </is>
      </c>
    </row>
    <row r="73">
      <c r="E73" t="inlineStr">
        <is>
          <t>P002-012</t>
        </is>
      </c>
    </row>
    <row r="74">
      <c r="E74" t="inlineStr">
        <is>
          <t>P002-013</t>
        </is>
      </c>
    </row>
    <row r="75">
      <c r="E75" t="inlineStr">
        <is>
          <t>P002-014</t>
        </is>
      </c>
    </row>
    <row r="76">
      <c r="E76" t="inlineStr">
        <is>
          <t>P002-015</t>
        </is>
      </c>
    </row>
    <row r="77">
      <c r="E77" t="inlineStr">
        <is>
          <t>P002-016</t>
        </is>
      </c>
    </row>
    <row r="78">
      <c r="E78" t="inlineStr">
        <is>
          <t>P002-017</t>
        </is>
      </c>
    </row>
    <row r="79">
      <c r="E79" t="inlineStr">
        <is>
          <t>P002-018</t>
        </is>
      </c>
    </row>
    <row r="80">
      <c r="E80" t="inlineStr">
        <is>
          <t>P002-019</t>
        </is>
      </c>
    </row>
    <row r="81">
      <c r="E81" t="inlineStr">
        <is>
          <t>P002-020</t>
        </is>
      </c>
    </row>
    <row r="82">
      <c r="E82" t="inlineStr">
        <is>
          <t>P002-021</t>
        </is>
      </c>
    </row>
    <row r="83">
      <c r="E83" t="inlineStr">
        <is>
          <t>P002-022</t>
        </is>
      </c>
    </row>
    <row r="84">
      <c r="E84" t="inlineStr">
        <is>
          <t>P002-023</t>
        </is>
      </c>
    </row>
    <row r="85">
      <c r="E85" t="inlineStr">
        <is>
          <t>P002-024</t>
        </is>
      </c>
    </row>
    <row r="86">
      <c r="E86" t="inlineStr">
        <is>
          <t>P002-025</t>
        </is>
      </c>
    </row>
    <row r="87">
      <c r="E87" t="inlineStr">
        <is>
          <t>P002-026</t>
        </is>
      </c>
    </row>
    <row r="88">
      <c r="E88" t="inlineStr">
        <is>
          <t>P002-027</t>
        </is>
      </c>
    </row>
    <row r="89">
      <c r="E89" t="inlineStr">
        <is>
          <t>P002-028</t>
        </is>
      </c>
    </row>
    <row r="90">
      <c r="E90" t="inlineStr">
        <is>
          <t>P002-029</t>
        </is>
      </c>
    </row>
    <row r="91">
      <c r="E91" t="inlineStr">
        <is>
          <t>P002-030</t>
        </is>
      </c>
    </row>
    <row r="92">
      <c r="E92" t="inlineStr">
        <is>
          <t>P002-031</t>
        </is>
      </c>
    </row>
    <row r="93">
      <c r="E93" t="inlineStr">
        <is>
          <t>P002-032</t>
        </is>
      </c>
    </row>
    <row r="94">
      <c r="E94" t="inlineStr">
        <is>
          <t>P002-033</t>
        </is>
      </c>
    </row>
    <row r="95">
      <c r="E95" t="inlineStr">
        <is>
          <t>P002-034</t>
        </is>
      </c>
    </row>
    <row r="96">
      <c r="E96" t="inlineStr">
        <is>
          <t>P002-035</t>
        </is>
      </c>
    </row>
    <row r="97">
      <c r="E97" t="inlineStr">
        <is>
          <t>P002-036</t>
        </is>
      </c>
    </row>
    <row r="98">
      <c r="E98" t="inlineStr">
        <is>
          <t>P002-037</t>
        </is>
      </c>
    </row>
    <row r="99">
      <c r="E99" t="inlineStr">
        <is>
          <t>P002-038</t>
        </is>
      </c>
    </row>
    <row r="100">
      <c r="E100" t="inlineStr">
        <is>
          <t>P002-039</t>
        </is>
      </c>
    </row>
    <row r="101">
      <c r="E101" t="inlineStr">
        <is>
          <t>P002-040</t>
        </is>
      </c>
    </row>
    <row r="102">
      <c r="E102" t="inlineStr">
        <is>
          <t>P002-041</t>
        </is>
      </c>
    </row>
    <row r="103">
      <c r="E103" t="inlineStr">
        <is>
          <t>P002-042</t>
        </is>
      </c>
    </row>
    <row r="104">
      <c r="E104" t="inlineStr">
        <is>
          <t>P002-043</t>
        </is>
      </c>
    </row>
    <row r="105">
      <c r="E105" t="inlineStr">
        <is>
          <t>P002-044</t>
        </is>
      </c>
    </row>
    <row r="106">
      <c r="E106" t="inlineStr">
        <is>
          <t>P002-045</t>
        </is>
      </c>
    </row>
    <row r="107">
      <c r="E107" t="inlineStr">
        <is>
          <t>P002-046</t>
        </is>
      </c>
    </row>
    <row r="108">
      <c r="E108" t="inlineStr">
        <is>
          <t>P002-047</t>
        </is>
      </c>
    </row>
    <row r="109">
      <c r="E109" t="inlineStr">
        <is>
          <t>P002-048</t>
        </is>
      </c>
    </row>
    <row r="110">
      <c r="E110" t="inlineStr">
        <is>
          <t>P002-049</t>
        </is>
      </c>
    </row>
    <row r="111">
      <c r="E111" t="inlineStr">
        <is>
          <t>P002-050</t>
        </is>
      </c>
    </row>
    <row r="112">
      <c r="E112" t="inlineStr">
        <is>
          <t>P002-051</t>
        </is>
      </c>
    </row>
    <row r="113">
      <c r="E113" t="inlineStr">
        <is>
          <t>P002-052</t>
        </is>
      </c>
    </row>
    <row r="114">
      <c r="E114" t="inlineStr">
        <is>
          <t>P002-053</t>
        </is>
      </c>
    </row>
    <row r="115">
      <c r="E115" t="inlineStr">
        <is>
          <t>P002-054</t>
        </is>
      </c>
    </row>
    <row r="116">
      <c r="E116" t="inlineStr">
        <is>
          <t>P002-055</t>
        </is>
      </c>
    </row>
    <row r="117">
      <c r="E117" t="inlineStr">
        <is>
          <t>P002-056</t>
        </is>
      </c>
    </row>
    <row r="118">
      <c r="E118" t="inlineStr">
        <is>
          <t>P002-057</t>
        </is>
      </c>
    </row>
    <row r="119">
      <c r="E119" t="inlineStr">
        <is>
          <t>P002-058</t>
        </is>
      </c>
    </row>
    <row r="120">
      <c r="E120" t="inlineStr">
        <is>
          <t>P002-059</t>
        </is>
      </c>
    </row>
    <row r="121">
      <c r="E121" t="inlineStr">
        <is>
          <t>P002-060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cols>
    <col min="1" max="1" width="12" customWidth="1"/>
    <col min="2" max="2" width="8" customWidth="1"/>
    <col min="3" max="3" width="12" customWidth="1"/>
    <col min="4" max="4" width="28" customWidth="1"/>
    <col min="5" max="5" width="12" customWidth="1"/>
    <col min="6" max="6" width="14" customWidth="1"/>
    <col min="7" max="7" width="14" customWidth="1"/>
    <col min="8" max="8" width="12" customWidth="1"/>
    <col min="9" max="9" width="24" customWidth="1"/>
    <col min="10" max="10" width="15" customWidth="1"/>
    <col min="11" max="11" width="14" customWidth="1"/>
    <col min="12" max="12" width="12" customWidth="1"/>
    <col min="13" max="13" width="16" customWidth="1"/>
    <col min="14" max="14" width="24" customWidth="1"/>
    <col min="15" max="15" width="3" customWidth="1"/>
    <col min="16" max="16" width="3" customWidth="1"/>
    <col min="17" max="17" width="3" customWidth="1"/>
    <col min="18" max="18" width="3" customWidth="1"/>
    <col min="19" max="19" width="3" customWidth="1"/>
    <col min="20" max="20" width="3" customWidth="1"/>
    <col min="21" max="21" width="3" customWidth="1"/>
    <col min="22" max="22" width="3" customWidth="1"/>
    <col min="23" max="23" width="3" customWidth="1"/>
    <col min="24" max="24" width="3" customWidth="1"/>
    <col min="25" max="25" width="3" customWidth="1"/>
    <col min="26" max="26" width="3" customWidth="1"/>
    <col min="27" max="27" width="3" customWidth="1"/>
    <col min="28" max="28" width="3" customWidth="1"/>
    <col min="29" max="29" width="3" customWidth="1"/>
    <col min="30" max="30" width="3" customWidth="1"/>
    <col min="31" max="31" width="3" customWidth="1"/>
    <col min="32" max="32" width="3" customWidth="1"/>
    <col min="33" max="33" width="3" customWidth="1"/>
    <col min="34" max="34" width="3" customWidth="1"/>
    <col min="35" max="35" width="3" customWidth="1"/>
    <col min="36" max="36" width="3" customWidth="1"/>
    <col min="37" max="37" width="3" customWidth="1"/>
    <col min="38" max="38" width="3" customWidth="1"/>
    <col min="39" max="39" width="3" customWidth="1"/>
    <col min="40" max="40" width="3" customWidth="1"/>
    <col min="41" max="41" width="3" customWidth="1"/>
    <col min="42" max="42" width="3" customWidth="1"/>
    <col min="43" max="43" width="3" customWidth="1"/>
    <col min="44" max="44" width="3" customWidth="1"/>
    <col min="45" max="45" width="3" customWidth="1"/>
    <col min="46" max="46" width="3" customWidth="1"/>
    <col min="47" max="47" width="3" customWidth="1"/>
    <col min="48" max="48" width="3" customWidth="1"/>
    <col min="49" max="49" width="3" customWidth="1"/>
    <col min="50" max="50" width="3" customWidth="1"/>
    <col min="51" max="51" width="3" customWidth="1"/>
    <col min="52" max="52" width="3" customWidth="1"/>
    <col min="53" max="53" width="3" customWidth="1"/>
    <col min="54" max="54" width="3" customWidth="1"/>
    <col min="55" max="55" width="3" customWidth="1"/>
    <col min="56" max="56" width="3" customWidth="1"/>
    <col min="57" max="57" width="3" customWidth="1"/>
    <col min="58" max="58" width="3" customWidth="1"/>
    <col min="59" max="59" width="3" customWidth="1"/>
    <col min="60" max="60" width="3" customWidth="1"/>
    <col min="61" max="61" width="3" customWidth="1"/>
    <col min="62" max="62" width="3" customWidth="1"/>
    <col min="63" max="63" width="3" customWidth="1"/>
    <col min="64" max="64" width="3" customWidth="1"/>
    <col min="65" max="65" width="3" customWidth="1"/>
    <col min="66" max="66" width="3" customWidth="1"/>
    <col min="67" max="67" width="3" customWidth="1"/>
    <col min="68" max="68" width="3" customWidth="1"/>
    <col min="69" max="69" width="3" customWidth="1"/>
    <col min="70" max="70" width="3" customWidth="1"/>
    <col min="71" max="71" width="3" customWidth="1"/>
    <col min="72" max="72" width="3" customWidth="1"/>
    <col min="73" max="73" width="3" customWidth="1"/>
    <col min="74" max="74" width="3" customWidth="1"/>
    <col min="75" max="75" width="3" customWidth="1"/>
  </cols>
  <sheetViews>
    <sheetView workbookViewId="0">
      <pane ySplit="9" topLeftCell="A10" activePane="bottomLeft" state="frozen"/>
    </sheetView>
  </sheetViews>
  <sheetData>
    <row r="1">
      <c r="A1" s="1" t="inlineStr">
        <is>
          <t>Projet_001</t>
        </is>
      </c>
    </row>
    <row r="2"/>
    <row r="3">
      <c r="A3" s="0" t="inlineStr">
        <is>
          <t>KPI</t>
        </is>
      </c>
      <c r="B3" s="0" t="inlineStr">
        <is>
          <t>Valeur</t>
        </is>
      </c>
      <c r="C3" s="0" t="inlineStr">
        <is>
          <t>Formule</t>
        </is>
      </c>
    </row>
    <row r="4">
      <c r="A4" s="0" t="inlineStr">
        <is>
          <t>Avancement</t>
        </is>
      </c>
      <c r="B4" s="0">
        <f>IFERROR(AVERAGE($K$10:$K$60),0)</f>
      </c>
      <c r="C4" s="0" t="inlineStr">
        <is>
          <t>Moyenne avancement tâches</t>
        </is>
      </c>
    </row>
    <row r="5">
      <c r="A5" s="0" t="inlineStr">
        <is>
          <t>Budget prévu</t>
        </is>
      </c>
      <c r="B5" s="0">
        <f>SUM($G$10:$G$60)</f>
      </c>
      <c r="C5" s="0" t="inlineStr">
        <is>
          <t>Somme coûts prévus</t>
        </is>
      </c>
    </row>
    <row r="6">
      <c r="A6" s="0" t="inlineStr">
        <is>
          <t>Temps prévu</t>
        </is>
      </c>
      <c r="B6" s="0">
        <f>SUM($F$10:$F$60)</f>
      </c>
      <c r="C6" s="0" t="inlineStr">
        <is>
          <t>Somme heures prévues</t>
        </is>
      </c>
    </row>
    <row r="7">
      <c r="A7" s="0" t="inlineStr">
        <is>
          <t>Temps passé</t>
        </is>
      </c>
      <c r="B7" s="0">
        <f>SUM($I$10:$I$60)</f>
      </c>
      <c r="C7" s="0" t="inlineStr">
        <is>
          <t>Somme injectée depuis Suivi Temps</t>
        </is>
      </c>
    </row>
    <row r="8">
      <c r="A8" s="0" t="inlineStr">
        <is>
          <t>Tâches en retard</t>
        </is>
      </c>
      <c r="B8" s="0">
        <f>COUNTIFS($D$10:$D$60,"&lt;"&amp;TODAY(),$J$10:$J$60,"")</f>
      </c>
      <c r="C8" s="0" t="inlineStr">
        <is>
          <t>Fin estimée dépassée sans fin effective</t>
        </is>
      </c>
    </row>
    <row r="9">
      <c r="A9" s="0" t="inlineStr">
        <is>
          <t>Gantt</t>
        </is>
      </c>
      <c r="B9" s="3">
        <v>46204</v>
      </c>
      <c r="C9" s="3">
        <v>46205</v>
      </c>
      <c r="D9" s="3">
        <v>46206</v>
      </c>
      <c r="E9" s="3">
        <v>46207</v>
      </c>
      <c r="F9" s="3">
        <v>46208</v>
      </c>
      <c r="G9" s="3">
        <v>46209</v>
      </c>
      <c r="H9" s="3">
        <v>46210</v>
      </c>
      <c r="I9" s="3">
        <v>46211</v>
      </c>
      <c r="J9" s="3">
        <v>46212</v>
      </c>
      <c r="K9" s="3">
        <v>46213</v>
      </c>
      <c r="L9" s="3">
        <v>46214</v>
      </c>
      <c r="M9" s="3">
        <v>46215</v>
      </c>
      <c r="N9" s="3">
        <v>46216</v>
      </c>
      <c r="O9" s="3">
        <v>46217</v>
      </c>
      <c r="P9" s="3">
        <v>46218</v>
      </c>
      <c r="Q9" s="3">
        <v>46219</v>
      </c>
      <c r="R9" s="3">
        <v>46220</v>
      </c>
      <c r="S9" s="3">
        <v>46221</v>
      </c>
      <c r="T9" s="3">
        <v>46222</v>
      </c>
      <c r="U9" s="3">
        <v>46223</v>
      </c>
      <c r="V9" s="3">
        <v>46224</v>
      </c>
      <c r="W9" s="3">
        <v>46225</v>
      </c>
      <c r="X9" s="3">
        <v>46226</v>
      </c>
      <c r="Y9" s="3">
        <v>46227</v>
      </c>
      <c r="Z9" s="3">
        <v>46228</v>
      </c>
      <c r="AA9" s="3">
        <v>46229</v>
      </c>
      <c r="AB9" s="3">
        <v>46230</v>
      </c>
      <c r="AC9" s="3">
        <v>46231</v>
      </c>
      <c r="AD9" s="3">
        <v>46232</v>
      </c>
      <c r="AE9" s="3">
        <v>46233</v>
      </c>
      <c r="AF9" s="3">
        <v>46234</v>
      </c>
      <c r="AG9" s="3">
        <v>46235</v>
      </c>
      <c r="AH9" s="3">
        <v>46236</v>
      </c>
      <c r="AI9" s="3">
        <v>46237</v>
      </c>
      <c r="AJ9" s="3">
        <v>46238</v>
      </c>
      <c r="AK9" s="3">
        <v>46239</v>
      </c>
      <c r="AL9" s="3">
        <v>46240</v>
      </c>
      <c r="AM9" s="3">
        <v>46241</v>
      </c>
      <c r="AN9" s="3">
        <v>46242</v>
      </c>
      <c r="AO9" s="3">
        <v>46243</v>
      </c>
      <c r="AP9" s="3">
        <v>46244</v>
      </c>
      <c r="AQ9" s="3">
        <v>46245</v>
      </c>
      <c r="AR9" s="3">
        <v>46246</v>
      </c>
      <c r="AS9" s="3">
        <v>46247</v>
      </c>
      <c r="AT9" s="3">
        <v>46248</v>
      </c>
      <c r="AU9" s="3">
        <v>46249</v>
      </c>
      <c r="AV9" s="3">
        <v>46250</v>
      </c>
      <c r="AW9" s="3">
        <v>46251</v>
      </c>
      <c r="AX9" s="3">
        <v>46252</v>
      </c>
      <c r="AY9" s="3">
        <v>46253</v>
      </c>
      <c r="AZ9" s="3">
        <v>46254</v>
      </c>
      <c r="BA9" s="3">
        <v>46255</v>
      </c>
      <c r="BB9" s="3">
        <v>46256</v>
      </c>
      <c r="BC9" s="3">
        <v>46257</v>
      </c>
      <c r="BD9" s="3">
        <v>46258</v>
      </c>
      <c r="BE9" s="3">
        <v>46259</v>
      </c>
      <c r="BF9" s="3">
        <v>46260</v>
      </c>
      <c r="BG9" s="3">
        <v>46261</v>
      </c>
      <c r="BH9" s="3">
        <v>46262</v>
      </c>
      <c r="BI9" s="3">
        <v>46263</v>
      </c>
    </row>
    <row r="10">
      <c r="A10" s="0" t="inlineStr">
        <is>
          <t>Réf.</t>
        </is>
      </c>
      <c r="B10" s="0" t="inlineStr">
        <is>
          <t>Niveau</t>
        </is>
      </c>
      <c r="C10" s="0" t="inlineStr">
        <is>
          <t>Parent</t>
        </is>
      </c>
      <c r="D10" s="0" t="inlineStr">
        <is>
          <t>Tâche</t>
        </is>
      </c>
      <c r="E10" s="0" t="inlineStr">
        <is>
          <t>Début</t>
        </is>
      </c>
      <c r="F10" s="0" t="inlineStr">
        <is>
          <t>Fin estimée</t>
        </is>
      </c>
      <c r="G10" s="0" t="inlineStr">
        <is>
          <t>Temps prévu (h)</t>
        </is>
      </c>
      <c r="H10" s="0" t="inlineStr">
        <is>
          <t>Coût prévu</t>
        </is>
      </c>
      <c r="I10" s="0" t="inlineStr">
        <is>
          <t>Ressources</t>
        </is>
      </c>
      <c r="J10" s="0" t="inlineStr">
        <is>
          <t>Temps passé (h)</t>
        </is>
      </c>
      <c r="K10" s="0" t="inlineStr">
        <is>
          <t>Fin effective</t>
        </is>
      </c>
      <c r="L10" s="0" t="inlineStr">
        <is>
          <t>Avancement</t>
        </is>
      </c>
      <c r="M10" s="0" t="inlineStr">
        <is>
          <t>Prédécesseurs</t>
        </is>
      </c>
      <c r="N10" s="0" t="inlineStr">
        <is>
          <t>Notes</t>
        </is>
      </c>
      <c r="O10" s="0" t="inlineStr">
        <is>
          <t/>
        </is>
      </c>
      <c r="P10" s="0">
        <f>IF(AND(P$9&gt;=$E10,P$9&lt;=$F10),"■","")</f>
      </c>
      <c r="Q10" s="0">
        <f>IF(AND(Q$9&gt;=$E10,Q$9&lt;=$F10),"■","")</f>
      </c>
      <c r="R10" s="0">
        <f>IF(AND(R$9&gt;=$E10,R$9&lt;=$F10),"■","")</f>
      </c>
      <c r="S10" s="0">
        <f>IF(AND(S$9&gt;=$E10,S$9&lt;=$F10),"■","")</f>
      </c>
      <c r="T10" s="0">
        <f>IF(AND(T$9&gt;=$E10,T$9&lt;=$F10),"■","")</f>
      </c>
      <c r="U10" s="0">
        <f>IF(AND(U$9&gt;=$E10,U$9&lt;=$F10),"■","")</f>
      </c>
      <c r="V10" s="0">
        <f>IF(AND(V$9&gt;=$E10,V$9&lt;=$F10),"■","")</f>
      </c>
      <c r="W10" s="0">
        <f>IF(AND(W$9&gt;=$E10,W$9&lt;=$F10),"■","")</f>
      </c>
      <c r="X10" s="0">
        <f>IF(AND(X$9&gt;=$E10,X$9&lt;=$F10),"■","")</f>
      </c>
      <c r="Y10" s="0">
        <f>IF(AND(Y$9&gt;=$E10,Y$9&lt;=$F10),"■","")</f>
      </c>
      <c r="Z10" s="0">
        <f>IF(AND(Z$9&gt;=$E10,Z$9&lt;=$F10),"■","")</f>
      </c>
      <c r="AA10" s="0">
        <f>IF(AND(AA$9&gt;=$E10,AA$9&lt;=$F10),"■","")</f>
      </c>
      <c r="AB10" s="0">
        <f>IF(AND(AB$9&gt;=$E10,AB$9&lt;=$F10),"■","")</f>
      </c>
      <c r="AC10" s="0">
        <f>IF(AND(AC$9&gt;=$E10,AC$9&lt;=$F10),"■","")</f>
      </c>
      <c r="AD10" s="0">
        <f>IF(AND(AD$9&gt;=$E10,AD$9&lt;=$F10),"■","")</f>
      </c>
      <c r="AE10" s="0">
        <f>IF(AND(AE$9&gt;=$E10,AE$9&lt;=$F10),"■","")</f>
      </c>
      <c r="AF10" s="0">
        <f>IF(AND(AF$9&gt;=$E10,AF$9&lt;=$F10),"■","")</f>
      </c>
      <c r="AG10" s="0">
        <f>IF(AND(AG$9&gt;=$E10,AG$9&lt;=$F10),"■","")</f>
      </c>
      <c r="AH10" s="0">
        <f>IF(AND(AH$9&gt;=$E10,AH$9&lt;=$F10),"■","")</f>
      </c>
      <c r="AI10" s="0">
        <f>IF(AND(AI$9&gt;=$E10,AI$9&lt;=$F10),"■","")</f>
      </c>
      <c r="AJ10" s="0">
        <f>IF(AND(AJ$9&gt;=$E10,AJ$9&lt;=$F10),"■","")</f>
      </c>
      <c r="AK10" s="0">
        <f>IF(AND(AK$9&gt;=$E10,AK$9&lt;=$F10),"■","")</f>
      </c>
      <c r="AL10" s="0">
        <f>IF(AND(AL$9&gt;=$E10,AL$9&lt;=$F10),"■","")</f>
      </c>
      <c r="AM10" s="0">
        <f>IF(AND(AM$9&gt;=$E10,AM$9&lt;=$F10),"■","")</f>
      </c>
      <c r="AN10" s="0">
        <f>IF(AND(AN$9&gt;=$E10,AN$9&lt;=$F10),"■","")</f>
      </c>
      <c r="AO10" s="0">
        <f>IF(AND(AO$9&gt;=$E10,AO$9&lt;=$F10),"■","")</f>
      </c>
      <c r="AP10" s="0">
        <f>IF(AND(AP$9&gt;=$E10,AP$9&lt;=$F10),"■","")</f>
      </c>
      <c r="AQ10" s="0">
        <f>IF(AND(AQ$9&gt;=$E10,AQ$9&lt;=$F10),"■","")</f>
      </c>
      <c r="AR10" s="0">
        <f>IF(AND(AR$9&gt;=$E10,AR$9&lt;=$F10),"■","")</f>
      </c>
      <c r="AS10" s="0">
        <f>IF(AND(AS$9&gt;=$E10,AS$9&lt;=$F10),"■","")</f>
      </c>
      <c r="AT10" s="0">
        <f>IF(AND(AT$9&gt;=$E10,AT$9&lt;=$F10),"■","")</f>
      </c>
      <c r="AU10" s="0">
        <f>IF(AND(AU$9&gt;=$E10,AU$9&lt;=$F10),"■","")</f>
      </c>
      <c r="AV10" s="0">
        <f>IF(AND(AV$9&gt;=$E10,AV$9&lt;=$F10),"■","")</f>
      </c>
      <c r="AW10" s="0">
        <f>IF(AND(AW$9&gt;=$E10,AW$9&lt;=$F10),"■","")</f>
      </c>
      <c r="AX10" s="0">
        <f>IF(AND(AX$9&gt;=$E10,AX$9&lt;=$F10),"■","")</f>
      </c>
      <c r="AY10" s="0">
        <f>IF(AND(AY$9&gt;=$E10,AY$9&lt;=$F10),"■","")</f>
      </c>
      <c r="AZ10" s="0">
        <f>IF(AND(AZ$9&gt;=$E10,AZ$9&lt;=$F10),"■","")</f>
      </c>
      <c r="BA10" s="0">
        <f>IF(AND(BA$9&gt;=$E10,BA$9&lt;=$F10),"■","")</f>
      </c>
      <c r="BB10" s="0">
        <f>IF(AND(BB$9&gt;=$E10,BB$9&lt;=$F10),"■","")</f>
      </c>
      <c r="BC10" s="0">
        <f>IF(AND(BC$9&gt;=$E10,BC$9&lt;=$F10),"■","")</f>
      </c>
      <c r="BD10" s="0">
        <f>IF(AND(BD$9&gt;=$E10,BD$9&lt;=$F10),"■","")</f>
      </c>
      <c r="BE10" s="0">
        <f>IF(AND(BE$9&gt;=$E10,BE$9&lt;=$F10),"■","")</f>
      </c>
      <c r="BF10" s="0">
        <f>IF(AND(BF$9&gt;=$E10,BF$9&lt;=$F10),"■","")</f>
      </c>
      <c r="BG10" s="0">
        <f>IF(AND(BG$9&gt;=$E10,BG$9&lt;=$F10),"■","")</f>
      </c>
      <c r="BH10" s="0">
        <f>IF(AND(BH$9&gt;=$E10,BH$9&lt;=$F10),"■","")</f>
      </c>
      <c r="BI10" s="0">
        <f>IF(AND(BI$9&gt;=$E10,BI$9&lt;=$F10),"■","")</f>
      </c>
      <c r="BJ10" s="0">
        <f>IF(AND(BJ$9&gt;=$E10,BJ$9&lt;=$F10),"■","")</f>
      </c>
      <c r="BK10" s="0">
        <f>IF(AND(BK$9&gt;=$E10,BK$9&lt;=$F10),"■","")</f>
      </c>
      <c r="BL10" s="0">
        <f>IF(AND(BL$9&gt;=$E10,BL$9&lt;=$F10),"■","")</f>
      </c>
      <c r="BM10" s="0">
        <f>IF(AND(BM$9&gt;=$E10,BM$9&lt;=$F10),"■","")</f>
      </c>
      <c r="BN10" s="0">
        <f>IF(AND(BN$9&gt;=$E10,BN$9&lt;=$F10),"■","")</f>
      </c>
      <c r="BO10" s="0">
        <f>IF(AND(BO$9&gt;=$E10,BO$9&lt;=$F10),"■","")</f>
      </c>
      <c r="BP10" s="0">
        <f>IF(AND(BP$9&gt;=$E10,BP$9&lt;=$F10),"■","")</f>
      </c>
      <c r="BQ10" s="0">
        <f>IF(AND(BQ$9&gt;=$E10,BQ$9&lt;=$F10),"■","")</f>
      </c>
      <c r="BR10" s="0">
        <f>IF(AND(BR$9&gt;=$E10,BR$9&lt;=$F10),"■","")</f>
      </c>
      <c r="BS10" s="0">
        <f>IF(AND(BS$9&gt;=$E10,BS$9&lt;=$F10),"■","")</f>
      </c>
      <c r="BT10" s="0">
        <f>IF(AND(BT$9&gt;=$E10,BT$9&lt;=$F10),"■","")</f>
      </c>
      <c r="BU10" s="0">
        <f>IF(AND(BU$9&gt;=$E10,BU$9&lt;=$F10),"■","")</f>
      </c>
      <c r="BV10" s="0">
        <f>IF(AND(BV$9&gt;=$E10,BV$9&lt;=$F10),"■","")</f>
      </c>
      <c r="BW10" s="0">
        <f>IF(AND(BW$9&gt;=$E10,BW$9&lt;=$F10),"■","")</f>
      </c>
    </row>
    <row r="11">
      <c r="A11" s="0" t="inlineStr">
        <is>
          <t>P001-001</t>
        </is>
      </c>
      <c r="B11" s="0">
        <v>1</v>
      </c>
      <c r="C11" s="0" t="inlineStr">
        <is>
          <t/>
        </is>
      </c>
      <c r="D11" s="0" t="inlineStr">
        <is>
          <t>Cadrage</t>
        </is>
      </c>
      <c r="E11" s="3">
        <v>46204</v>
      </c>
      <c r="F11" s="3">
        <v>46214</v>
      </c>
      <c r="G11" s="0">
        <v>24</v>
      </c>
      <c r="H11" s="0">
        <v>3000</v>
      </c>
      <c r="I11" s="0" t="inlineStr">
        <is>
          <t>Alice Martin; Karim Benali</t>
        </is>
      </c>
      <c r="J11" s="0">
        <f>SUMIFS('Suivi Temps'!$D:$D,'Suivi Temps'!$A:$A,"P001-001")</f>
      </c>
      <c r="K11" s="0" t="inlineStr">
        <is>
          <t/>
        </is>
      </c>
      <c r="L11" s="0">
        <v>0.7</v>
      </c>
      <c r="M11" s="0" t="inlineStr">
        <is>
          <t/>
        </is>
      </c>
      <c r="N11" s="0" t="inlineStr">
        <is>
          <t/>
        </is>
      </c>
      <c r="O11" s="0" t="inlineStr">
        <is>
          <t/>
        </is>
      </c>
      <c r="P11" s="0">
        <f>IF(AND(P$9&gt;=$E11,P$9&lt;=$F11),"■","")</f>
      </c>
      <c r="Q11" s="0">
        <f>IF(AND(Q$9&gt;=$E11,Q$9&lt;=$F11),"■","")</f>
      </c>
      <c r="R11" s="0">
        <f>IF(AND(R$9&gt;=$E11,R$9&lt;=$F11),"■","")</f>
      </c>
      <c r="S11" s="0">
        <f>IF(AND(S$9&gt;=$E11,S$9&lt;=$F11),"■","")</f>
      </c>
      <c r="T11" s="0">
        <f>IF(AND(T$9&gt;=$E11,T$9&lt;=$F11),"■","")</f>
      </c>
      <c r="U11" s="0">
        <f>IF(AND(U$9&gt;=$E11,U$9&lt;=$F11),"■","")</f>
      </c>
      <c r="V11" s="0">
        <f>IF(AND(V$9&gt;=$E11,V$9&lt;=$F11),"■","")</f>
      </c>
      <c r="W11" s="0">
        <f>IF(AND(W$9&gt;=$E11,W$9&lt;=$F11),"■","")</f>
      </c>
      <c r="X11" s="0">
        <f>IF(AND(X$9&gt;=$E11,X$9&lt;=$F11),"■","")</f>
      </c>
      <c r="Y11" s="0">
        <f>IF(AND(Y$9&gt;=$E11,Y$9&lt;=$F11),"■","")</f>
      </c>
      <c r="Z11" s="0">
        <f>IF(AND(Z$9&gt;=$E11,Z$9&lt;=$F11),"■","")</f>
      </c>
      <c r="AA11" s="0">
        <f>IF(AND(AA$9&gt;=$E11,AA$9&lt;=$F11),"■","")</f>
      </c>
      <c r="AB11" s="0">
        <f>IF(AND(AB$9&gt;=$E11,AB$9&lt;=$F11),"■","")</f>
      </c>
      <c r="AC11" s="0">
        <f>IF(AND(AC$9&gt;=$E11,AC$9&lt;=$F11),"■","")</f>
      </c>
      <c r="AD11" s="0">
        <f>IF(AND(AD$9&gt;=$E11,AD$9&lt;=$F11),"■","")</f>
      </c>
      <c r="AE11" s="0">
        <f>IF(AND(AE$9&gt;=$E11,AE$9&lt;=$F11),"■","")</f>
      </c>
      <c r="AF11" s="0">
        <f>IF(AND(AF$9&gt;=$E11,AF$9&lt;=$F11),"■","")</f>
      </c>
      <c r="AG11" s="0">
        <f>IF(AND(AG$9&gt;=$E11,AG$9&lt;=$F11),"■","")</f>
      </c>
      <c r="AH11" s="0">
        <f>IF(AND(AH$9&gt;=$E11,AH$9&lt;=$F11),"■","")</f>
      </c>
      <c r="AI11" s="0">
        <f>IF(AND(AI$9&gt;=$E11,AI$9&lt;=$F11),"■","")</f>
      </c>
      <c r="AJ11" s="0">
        <f>IF(AND(AJ$9&gt;=$E11,AJ$9&lt;=$F11),"■","")</f>
      </c>
      <c r="AK11" s="0">
        <f>IF(AND(AK$9&gt;=$E11,AK$9&lt;=$F11),"■","")</f>
      </c>
      <c r="AL11" s="0">
        <f>IF(AND(AL$9&gt;=$E11,AL$9&lt;=$F11),"■","")</f>
      </c>
      <c r="AM11" s="0">
        <f>IF(AND(AM$9&gt;=$E11,AM$9&lt;=$F11),"■","")</f>
      </c>
      <c r="AN11" s="0">
        <f>IF(AND(AN$9&gt;=$E11,AN$9&lt;=$F11),"■","")</f>
      </c>
      <c r="AO11" s="0">
        <f>IF(AND(AO$9&gt;=$E11,AO$9&lt;=$F11),"■","")</f>
      </c>
      <c r="AP11" s="0">
        <f>IF(AND(AP$9&gt;=$E11,AP$9&lt;=$F11),"■","")</f>
      </c>
      <c r="AQ11" s="0">
        <f>IF(AND(AQ$9&gt;=$E11,AQ$9&lt;=$F11),"■","")</f>
      </c>
      <c r="AR11" s="0">
        <f>IF(AND(AR$9&gt;=$E11,AR$9&lt;=$F11),"■","")</f>
      </c>
      <c r="AS11" s="0">
        <f>IF(AND(AS$9&gt;=$E11,AS$9&lt;=$F11),"■","")</f>
      </c>
      <c r="AT11" s="0">
        <f>IF(AND(AT$9&gt;=$E11,AT$9&lt;=$F11),"■","")</f>
      </c>
      <c r="AU11" s="0">
        <f>IF(AND(AU$9&gt;=$E11,AU$9&lt;=$F11),"■","")</f>
      </c>
      <c r="AV11" s="0">
        <f>IF(AND(AV$9&gt;=$E11,AV$9&lt;=$F11),"■","")</f>
      </c>
      <c r="AW11" s="0">
        <f>IF(AND(AW$9&gt;=$E11,AW$9&lt;=$F11),"■","")</f>
      </c>
      <c r="AX11" s="0">
        <f>IF(AND(AX$9&gt;=$E11,AX$9&lt;=$F11),"■","")</f>
      </c>
      <c r="AY11" s="0">
        <f>IF(AND(AY$9&gt;=$E11,AY$9&lt;=$F11),"■","")</f>
      </c>
      <c r="AZ11" s="0">
        <f>IF(AND(AZ$9&gt;=$E11,AZ$9&lt;=$F11),"■","")</f>
      </c>
      <c r="BA11" s="0">
        <f>IF(AND(BA$9&gt;=$E11,BA$9&lt;=$F11),"■","")</f>
      </c>
      <c r="BB11" s="0">
        <f>IF(AND(BB$9&gt;=$E11,BB$9&lt;=$F11),"■","")</f>
      </c>
      <c r="BC11" s="0">
        <f>IF(AND(BC$9&gt;=$E11,BC$9&lt;=$F11),"■","")</f>
      </c>
      <c r="BD11" s="0">
        <f>IF(AND(BD$9&gt;=$E11,BD$9&lt;=$F11),"■","")</f>
      </c>
      <c r="BE11" s="0">
        <f>IF(AND(BE$9&gt;=$E11,BE$9&lt;=$F11),"■","")</f>
      </c>
      <c r="BF11" s="0">
        <f>IF(AND(BF$9&gt;=$E11,BF$9&lt;=$F11),"■","")</f>
      </c>
      <c r="BG11" s="0">
        <f>IF(AND(BG$9&gt;=$E11,BG$9&lt;=$F11),"■","")</f>
      </c>
      <c r="BH11" s="0">
        <f>IF(AND(BH$9&gt;=$E11,BH$9&lt;=$F11),"■","")</f>
      </c>
      <c r="BI11" s="0">
        <f>IF(AND(BI$9&gt;=$E11,BI$9&lt;=$F11),"■","")</f>
      </c>
      <c r="BJ11" s="0">
        <f>IF(AND(BJ$9&gt;=$E11,BJ$9&lt;=$F11),"■","")</f>
      </c>
      <c r="BK11" s="0">
        <f>IF(AND(BK$9&gt;=$E11,BK$9&lt;=$F11),"■","")</f>
      </c>
      <c r="BL11" s="0">
        <f>IF(AND(BL$9&gt;=$E11,BL$9&lt;=$F11),"■","")</f>
      </c>
      <c r="BM11" s="0">
        <f>IF(AND(BM$9&gt;=$E11,BM$9&lt;=$F11),"■","")</f>
      </c>
      <c r="BN11" s="0">
        <f>IF(AND(BN$9&gt;=$E11,BN$9&lt;=$F11),"■","")</f>
      </c>
      <c r="BO11" s="0">
        <f>IF(AND(BO$9&gt;=$E11,BO$9&lt;=$F11),"■","")</f>
      </c>
      <c r="BP11" s="0">
        <f>IF(AND(BP$9&gt;=$E11,BP$9&lt;=$F11),"■","")</f>
      </c>
      <c r="BQ11" s="0">
        <f>IF(AND(BQ$9&gt;=$E11,BQ$9&lt;=$F11),"■","")</f>
      </c>
      <c r="BR11" s="0">
        <f>IF(AND(BR$9&gt;=$E11,BR$9&lt;=$F11),"■","")</f>
      </c>
      <c r="BS11" s="0">
        <f>IF(AND(BS$9&gt;=$E11,BS$9&lt;=$F11),"■","")</f>
      </c>
      <c r="BT11" s="0">
        <f>IF(AND(BT$9&gt;=$E11,BT$9&lt;=$F11),"■","")</f>
      </c>
      <c r="BU11" s="0">
        <f>IF(AND(BU$9&gt;=$E11,BU$9&lt;=$F11),"■","")</f>
      </c>
      <c r="BV11" s="0">
        <f>IF(AND(BV$9&gt;=$E11,BV$9&lt;=$F11),"■","")</f>
      </c>
      <c r="BW11" s="0">
        <f>IF(AND(BW$9&gt;=$E11,BW$9&lt;=$F11),"■","")</f>
      </c>
    </row>
    <row r="12">
      <c r="A12" s="0" t="inlineStr">
        <is>
          <t>P001-002</t>
        </is>
      </c>
      <c r="B12" s="0">
        <v>2</v>
      </c>
      <c r="C12" s="0" t="inlineStr">
        <is>
          <t>P001-001</t>
        </is>
      </c>
      <c r="D12" s="0" t="inlineStr">
        <is>
          <t>Kick-off</t>
        </is>
      </c>
      <c r="E12" s="3">
        <v>46204</v>
      </c>
      <c r="F12" s="3">
        <v>46206</v>
      </c>
      <c r="G12" s="0">
        <v>6</v>
      </c>
      <c r="H12" s="0">
        <v>600</v>
      </c>
      <c r="I12" s="0" t="inlineStr">
        <is>
          <t>Alice Martin</t>
        </is>
      </c>
      <c r="J12" s="0">
        <f>SUMIFS('Suivi Temps'!$D:$D,'Suivi Temps'!$A:$A,"P001-002")</f>
      </c>
      <c r="K12" s="0" t="inlineStr">
        <is>
          <t/>
        </is>
      </c>
      <c r="L12" s="0">
        <v>1</v>
      </c>
      <c r="M12" s="0" t="inlineStr">
        <is>
          <t/>
        </is>
      </c>
      <c r="N12" s="0" t="inlineStr">
        <is>
          <t/>
        </is>
      </c>
      <c r="O12" s="0" t="inlineStr">
        <is>
          <t/>
        </is>
      </c>
      <c r="P12" s="0">
        <f>IF(AND(P$9&gt;=$E12,P$9&lt;=$F12),"■","")</f>
      </c>
      <c r="Q12" s="0">
        <f>IF(AND(Q$9&gt;=$E12,Q$9&lt;=$F12),"■","")</f>
      </c>
      <c r="R12" s="0">
        <f>IF(AND(R$9&gt;=$E12,R$9&lt;=$F12),"■","")</f>
      </c>
      <c r="S12" s="0">
        <f>IF(AND(S$9&gt;=$E12,S$9&lt;=$F12),"■","")</f>
      </c>
      <c r="T12" s="0">
        <f>IF(AND(T$9&gt;=$E12,T$9&lt;=$F12),"■","")</f>
      </c>
      <c r="U12" s="0">
        <f>IF(AND(U$9&gt;=$E12,U$9&lt;=$F12),"■","")</f>
      </c>
      <c r="V12" s="0">
        <f>IF(AND(V$9&gt;=$E12,V$9&lt;=$F12),"■","")</f>
      </c>
      <c r="W12" s="0">
        <f>IF(AND(W$9&gt;=$E12,W$9&lt;=$F12),"■","")</f>
      </c>
      <c r="X12" s="0">
        <f>IF(AND(X$9&gt;=$E12,X$9&lt;=$F12),"■","")</f>
      </c>
      <c r="Y12" s="0">
        <f>IF(AND(Y$9&gt;=$E12,Y$9&lt;=$F12),"■","")</f>
      </c>
      <c r="Z12" s="0">
        <f>IF(AND(Z$9&gt;=$E12,Z$9&lt;=$F12),"■","")</f>
      </c>
      <c r="AA12" s="0">
        <f>IF(AND(AA$9&gt;=$E12,AA$9&lt;=$F12),"■","")</f>
      </c>
      <c r="AB12" s="0">
        <f>IF(AND(AB$9&gt;=$E12,AB$9&lt;=$F12),"■","")</f>
      </c>
      <c r="AC12" s="0">
        <f>IF(AND(AC$9&gt;=$E12,AC$9&lt;=$F12),"■","")</f>
      </c>
      <c r="AD12" s="0">
        <f>IF(AND(AD$9&gt;=$E12,AD$9&lt;=$F12),"■","")</f>
      </c>
      <c r="AE12" s="0">
        <f>IF(AND(AE$9&gt;=$E12,AE$9&lt;=$F12),"■","")</f>
      </c>
      <c r="AF12" s="0">
        <f>IF(AND(AF$9&gt;=$E12,AF$9&lt;=$F12),"■","")</f>
      </c>
      <c r="AG12" s="0">
        <f>IF(AND(AG$9&gt;=$E12,AG$9&lt;=$F12),"■","")</f>
      </c>
      <c r="AH12" s="0">
        <f>IF(AND(AH$9&gt;=$E12,AH$9&lt;=$F12),"■","")</f>
      </c>
      <c r="AI12" s="0">
        <f>IF(AND(AI$9&gt;=$E12,AI$9&lt;=$F12),"■","")</f>
      </c>
      <c r="AJ12" s="0">
        <f>IF(AND(AJ$9&gt;=$E12,AJ$9&lt;=$F12),"■","")</f>
      </c>
      <c r="AK12" s="0">
        <f>IF(AND(AK$9&gt;=$E12,AK$9&lt;=$F12),"■","")</f>
      </c>
      <c r="AL12" s="0">
        <f>IF(AND(AL$9&gt;=$E12,AL$9&lt;=$F12),"■","")</f>
      </c>
      <c r="AM12" s="0">
        <f>IF(AND(AM$9&gt;=$E12,AM$9&lt;=$F12),"■","")</f>
      </c>
      <c r="AN12" s="0">
        <f>IF(AND(AN$9&gt;=$E12,AN$9&lt;=$F12),"■","")</f>
      </c>
      <c r="AO12" s="0">
        <f>IF(AND(AO$9&gt;=$E12,AO$9&lt;=$F12),"■","")</f>
      </c>
      <c r="AP12" s="0">
        <f>IF(AND(AP$9&gt;=$E12,AP$9&lt;=$F12),"■","")</f>
      </c>
      <c r="AQ12" s="0">
        <f>IF(AND(AQ$9&gt;=$E12,AQ$9&lt;=$F12),"■","")</f>
      </c>
      <c r="AR12" s="0">
        <f>IF(AND(AR$9&gt;=$E12,AR$9&lt;=$F12),"■","")</f>
      </c>
      <c r="AS12" s="0">
        <f>IF(AND(AS$9&gt;=$E12,AS$9&lt;=$F12),"■","")</f>
      </c>
      <c r="AT12" s="0">
        <f>IF(AND(AT$9&gt;=$E12,AT$9&lt;=$F12),"■","")</f>
      </c>
      <c r="AU12" s="0">
        <f>IF(AND(AU$9&gt;=$E12,AU$9&lt;=$F12),"■","")</f>
      </c>
      <c r="AV12" s="0">
        <f>IF(AND(AV$9&gt;=$E12,AV$9&lt;=$F12),"■","")</f>
      </c>
      <c r="AW12" s="0">
        <f>IF(AND(AW$9&gt;=$E12,AW$9&lt;=$F12),"■","")</f>
      </c>
      <c r="AX12" s="0">
        <f>IF(AND(AX$9&gt;=$E12,AX$9&lt;=$F12),"■","")</f>
      </c>
      <c r="AY12" s="0">
        <f>IF(AND(AY$9&gt;=$E12,AY$9&lt;=$F12),"■","")</f>
      </c>
      <c r="AZ12" s="0">
        <f>IF(AND(AZ$9&gt;=$E12,AZ$9&lt;=$F12),"■","")</f>
      </c>
      <c r="BA12" s="0">
        <f>IF(AND(BA$9&gt;=$E12,BA$9&lt;=$F12),"■","")</f>
      </c>
      <c r="BB12" s="0">
        <f>IF(AND(BB$9&gt;=$E12,BB$9&lt;=$F12),"■","")</f>
      </c>
      <c r="BC12" s="0">
        <f>IF(AND(BC$9&gt;=$E12,BC$9&lt;=$F12),"■","")</f>
      </c>
      <c r="BD12" s="0">
        <f>IF(AND(BD$9&gt;=$E12,BD$9&lt;=$F12),"■","")</f>
      </c>
      <c r="BE12" s="0">
        <f>IF(AND(BE$9&gt;=$E12,BE$9&lt;=$F12),"■","")</f>
      </c>
      <c r="BF12" s="0">
        <f>IF(AND(BF$9&gt;=$E12,BF$9&lt;=$F12),"■","")</f>
      </c>
      <c r="BG12" s="0">
        <f>IF(AND(BG$9&gt;=$E12,BG$9&lt;=$F12),"■","")</f>
      </c>
      <c r="BH12" s="0">
        <f>IF(AND(BH$9&gt;=$E12,BH$9&lt;=$F12),"■","")</f>
      </c>
      <c r="BI12" s="0">
        <f>IF(AND(BI$9&gt;=$E12,BI$9&lt;=$F12),"■","")</f>
      </c>
      <c r="BJ12" s="0">
        <f>IF(AND(BJ$9&gt;=$E12,BJ$9&lt;=$F12),"■","")</f>
      </c>
      <c r="BK12" s="0">
        <f>IF(AND(BK$9&gt;=$E12,BK$9&lt;=$F12),"■","")</f>
      </c>
      <c r="BL12" s="0">
        <f>IF(AND(BL$9&gt;=$E12,BL$9&lt;=$F12),"■","")</f>
      </c>
      <c r="BM12" s="0">
        <f>IF(AND(BM$9&gt;=$E12,BM$9&lt;=$F12),"■","")</f>
      </c>
      <c r="BN12" s="0">
        <f>IF(AND(BN$9&gt;=$E12,BN$9&lt;=$F12),"■","")</f>
      </c>
      <c r="BO12" s="0">
        <f>IF(AND(BO$9&gt;=$E12,BO$9&lt;=$F12),"■","")</f>
      </c>
      <c r="BP12" s="0">
        <f>IF(AND(BP$9&gt;=$E12,BP$9&lt;=$F12),"■","")</f>
      </c>
      <c r="BQ12" s="0">
        <f>IF(AND(BQ$9&gt;=$E12,BQ$9&lt;=$F12),"■","")</f>
      </c>
      <c r="BR12" s="0">
        <f>IF(AND(BR$9&gt;=$E12,BR$9&lt;=$F12),"■","")</f>
      </c>
      <c r="BS12" s="0">
        <f>IF(AND(BS$9&gt;=$E12,BS$9&lt;=$F12),"■","")</f>
      </c>
      <c r="BT12" s="0">
        <f>IF(AND(BT$9&gt;=$E12,BT$9&lt;=$F12),"■","")</f>
      </c>
      <c r="BU12" s="0">
        <f>IF(AND(BU$9&gt;=$E12,BU$9&lt;=$F12),"■","")</f>
      </c>
      <c r="BV12" s="0">
        <f>IF(AND(BV$9&gt;=$E12,BV$9&lt;=$F12),"■","")</f>
      </c>
      <c r="BW12" s="0">
        <f>IF(AND(BW$9&gt;=$E12,BW$9&lt;=$F12),"■","")</f>
      </c>
    </row>
    <row r="13">
      <c r="A13" s="0" t="inlineStr">
        <is>
          <t>P001-003</t>
        </is>
      </c>
      <c r="B13" s="0">
        <v>3</v>
      </c>
      <c r="C13" s="0" t="inlineStr">
        <is>
          <t>P001-002</t>
        </is>
      </c>
      <c r="D13" s="0" t="inlineStr">
        <is>
          <t>Collecte besoins</t>
        </is>
      </c>
      <c r="E13" s="3">
        <v>46206</v>
      </c>
      <c r="F13" s="3">
        <v>46211</v>
      </c>
      <c r="G13" s="0">
        <v>10</v>
      </c>
      <c r="H13" s="0">
        <v>1200</v>
      </c>
      <c r="I13" s="0" t="inlineStr">
        <is>
          <t>Karim Benali</t>
        </is>
      </c>
      <c r="J13" s="0">
        <f>SUMIFS('Suivi Temps'!$D:$D,'Suivi Temps'!$A:$A,"P001-003")</f>
      </c>
      <c r="K13" s="0" t="inlineStr">
        <is>
          <t/>
        </is>
      </c>
      <c r="L13" s="0">
        <v>0.6</v>
      </c>
      <c r="M13" s="0" t="inlineStr">
        <is>
          <t/>
        </is>
      </c>
      <c r="N13" s="0" t="inlineStr">
        <is>
          <t/>
        </is>
      </c>
      <c r="O13" s="0" t="inlineStr">
        <is>
          <t/>
        </is>
      </c>
      <c r="P13" s="0">
        <f>IF(AND(P$9&gt;=$E13,P$9&lt;=$F13),"■","")</f>
      </c>
      <c r="Q13" s="0">
        <f>IF(AND(Q$9&gt;=$E13,Q$9&lt;=$F13),"■","")</f>
      </c>
      <c r="R13" s="0">
        <f>IF(AND(R$9&gt;=$E13,R$9&lt;=$F13),"■","")</f>
      </c>
      <c r="S13" s="0">
        <f>IF(AND(S$9&gt;=$E13,S$9&lt;=$F13),"■","")</f>
      </c>
      <c r="T13" s="0">
        <f>IF(AND(T$9&gt;=$E13,T$9&lt;=$F13),"■","")</f>
      </c>
      <c r="U13" s="0">
        <f>IF(AND(U$9&gt;=$E13,U$9&lt;=$F13),"■","")</f>
      </c>
      <c r="V13" s="0">
        <f>IF(AND(V$9&gt;=$E13,V$9&lt;=$F13),"■","")</f>
      </c>
      <c r="W13" s="0">
        <f>IF(AND(W$9&gt;=$E13,W$9&lt;=$F13),"■","")</f>
      </c>
      <c r="X13" s="0">
        <f>IF(AND(X$9&gt;=$E13,X$9&lt;=$F13),"■","")</f>
      </c>
      <c r="Y13" s="0">
        <f>IF(AND(Y$9&gt;=$E13,Y$9&lt;=$F13),"■","")</f>
      </c>
      <c r="Z13" s="0">
        <f>IF(AND(Z$9&gt;=$E13,Z$9&lt;=$F13),"■","")</f>
      </c>
      <c r="AA13" s="0">
        <f>IF(AND(AA$9&gt;=$E13,AA$9&lt;=$F13),"■","")</f>
      </c>
      <c r="AB13" s="0">
        <f>IF(AND(AB$9&gt;=$E13,AB$9&lt;=$F13),"■","")</f>
      </c>
      <c r="AC13" s="0">
        <f>IF(AND(AC$9&gt;=$E13,AC$9&lt;=$F13),"■","")</f>
      </c>
      <c r="AD13" s="0">
        <f>IF(AND(AD$9&gt;=$E13,AD$9&lt;=$F13),"■","")</f>
      </c>
      <c r="AE13" s="0">
        <f>IF(AND(AE$9&gt;=$E13,AE$9&lt;=$F13),"■","")</f>
      </c>
      <c r="AF13" s="0">
        <f>IF(AND(AF$9&gt;=$E13,AF$9&lt;=$F13),"■","")</f>
      </c>
      <c r="AG13" s="0">
        <f>IF(AND(AG$9&gt;=$E13,AG$9&lt;=$F13),"■","")</f>
      </c>
      <c r="AH13" s="0">
        <f>IF(AND(AH$9&gt;=$E13,AH$9&lt;=$F13),"■","")</f>
      </c>
      <c r="AI13" s="0">
        <f>IF(AND(AI$9&gt;=$E13,AI$9&lt;=$F13),"■","")</f>
      </c>
      <c r="AJ13" s="0">
        <f>IF(AND(AJ$9&gt;=$E13,AJ$9&lt;=$F13),"■","")</f>
      </c>
      <c r="AK13" s="0">
        <f>IF(AND(AK$9&gt;=$E13,AK$9&lt;=$F13),"■","")</f>
      </c>
      <c r="AL13" s="0">
        <f>IF(AND(AL$9&gt;=$E13,AL$9&lt;=$F13),"■","")</f>
      </c>
      <c r="AM13" s="0">
        <f>IF(AND(AM$9&gt;=$E13,AM$9&lt;=$F13),"■","")</f>
      </c>
      <c r="AN13" s="0">
        <f>IF(AND(AN$9&gt;=$E13,AN$9&lt;=$F13),"■","")</f>
      </c>
      <c r="AO13" s="0">
        <f>IF(AND(AO$9&gt;=$E13,AO$9&lt;=$F13),"■","")</f>
      </c>
      <c r="AP13" s="0">
        <f>IF(AND(AP$9&gt;=$E13,AP$9&lt;=$F13),"■","")</f>
      </c>
      <c r="AQ13" s="0">
        <f>IF(AND(AQ$9&gt;=$E13,AQ$9&lt;=$F13),"■","")</f>
      </c>
      <c r="AR13" s="0">
        <f>IF(AND(AR$9&gt;=$E13,AR$9&lt;=$F13),"■","")</f>
      </c>
      <c r="AS13" s="0">
        <f>IF(AND(AS$9&gt;=$E13,AS$9&lt;=$F13),"■","")</f>
      </c>
      <c r="AT13" s="0">
        <f>IF(AND(AT$9&gt;=$E13,AT$9&lt;=$F13),"■","")</f>
      </c>
      <c r="AU13" s="0">
        <f>IF(AND(AU$9&gt;=$E13,AU$9&lt;=$F13),"■","")</f>
      </c>
      <c r="AV13" s="0">
        <f>IF(AND(AV$9&gt;=$E13,AV$9&lt;=$F13),"■","")</f>
      </c>
      <c r="AW13" s="0">
        <f>IF(AND(AW$9&gt;=$E13,AW$9&lt;=$F13),"■","")</f>
      </c>
      <c r="AX13" s="0">
        <f>IF(AND(AX$9&gt;=$E13,AX$9&lt;=$F13),"■","")</f>
      </c>
      <c r="AY13" s="0">
        <f>IF(AND(AY$9&gt;=$E13,AY$9&lt;=$F13),"■","")</f>
      </c>
      <c r="AZ13" s="0">
        <f>IF(AND(AZ$9&gt;=$E13,AZ$9&lt;=$F13),"■","")</f>
      </c>
      <c r="BA13" s="0">
        <f>IF(AND(BA$9&gt;=$E13,BA$9&lt;=$F13),"■","")</f>
      </c>
      <c r="BB13" s="0">
        <f>IF(AND(BB$9&gt;=$E13,BB$9&lt;=$F13),"■","")</f>
      </c>
      <c r="BC13" s="0">
        <f>IF(AND(BC$9&gt;=$E13,BC$9&lt;=$F13),"■","")</f>
      </c>
      <c r="BD13" s="0">
        <f>IF(AND(BD$9&gt;=$E13,BD$9&lt;=$F13),"■","")</f>
      </c>
      <c r="BE13" s="0">
        <f>IF(AND(BE$9&gt;=$E13,BE$9&lt;=$F13),"■","")</f>
      </c>
      <c r="BF13" s="0">
        <f>IF(AND(BF$9&gt;=$E13,BF$9&lt;=$F13),"■","")</f>
      </c>
      <c r="BG13" s="0">
        <f>IF(AND(BG$9&gt;=$E13,BG$9&lt;=$F13),"■","")</f>
      </c>
      <c r="BH13" s="0">
        <f>IF(AND(BH$9&gt;=$E13,BH$9&lt;=$F13),"■","")</f>
      </c>
      <c r="BI13" s="0">
        <f>IF(AND(BI$9&gt;=$E13,BI$9&lt;=$F13),"■","")</f>
      </c>
      <c r="BJ13" s="0">
        <f>IF(AND(BJ$9&gt;=$E13,BJ$9&lt;=$F13),"■","")</f>
      </c>
      <c r="BK13" s="0">
        <f>IF(AND(BK$9&gt;=$E13,BK$9&lt;=$F13),"■","")</f>
      </c>
      <c r="BL13" s="0">
        <f>IF(AND(BL$9&gt;=$E13,BL$9&lt;=$F13),"■","")</f>
      </c>
      <c r="BM13" s="0">
        <f>IF(AND(BM$9&gt;=$E13,BM$9&lt;=$F13),"■","")</f>
      </c>
      <c r="BN13" s="0">
        <f>IF(AND(BN$9&gt;=$E13,BN$9&lt;=$F13),"■","")</f>
      </c>
      <c r="BO13" s="0">
        <f>IF(AND(BO$9&gt;=$E13,BO$9&lt;=$F13),"■","")</f>
      </c>
      <c r="BP13" s="0">
        <f>IF(AND(BP$9&gt;=$E13,BP$9&lt;=$F13),"■","")</f>
      </c>
      <c r="BQ13" s="0">
        <f>IF(AND(BQ$9&gt;=$E13,BQ$9&lt;=$F13),"■","")</f>
      </c>
      <c r="BR13" s="0">
        <f>IF(AND(BR$9&gt;=$E13,BR$9&lt;=$F13),"■","")</f>
      </c>
      <c r="BS13" s="0">
        <f>IF(AND(BS$9&gt;=$E13,BS$9&lt;=$F13),"■","")</f>
      </c>
      <c r="BT13" s="0">
        <f>IF(AND(BT$9&gt;=$E13,BT$9&lt;=$F13),"■","")</f>
      </c>
      <c r="BU13" s="0">
        <f>IF(AND(BU$9&gt;=$E13,BU$9&lt;=$F13),"■","")</f>
      </c>
      <c r="BV13" s="0">
        <f>IF(AND(BV$9&gt;=$E13,BV$9&lt;=$F13),"■","")</f>
      </c>
      <c r="BW13" s="0">
        <f>IF(AND(BW$9&gt;=$E13,BW$9&lt;=$F13),"■","")</f>
      </c>
    </row>
    <row r="14">
      <c r="A14" s="0" t="inlineStr">
        <is>
          <t>P001-004</t>
        </is>
      </c>
      <c r="B14" s="0">
        <v>4</v>
      </c>
      <c r="C14" s="0" t="inlineStr">
        <is>
          <t>P001-003</t>
        </is>
      </c>
      <c r="D14" s="0" t="inlineStr">
        <is>
          <t>Atelier métiers #1</t>
        </is>
      </c>
      <c r="E14" s="3">
        <v>46207</v>
      </c>
      <c r="F14" s="3">
        <v>46211</v>
      </c>
      <c r="G14" s="0">
        <v>4</v>
      </c>
      <c r="H14" s="0">
        <v>500</v>
      </c>
      <c r="I14" s="0" t="inlineStr">
        <is>
          <t>Léa Dubois</t>
        </is>
      </c>
      <c r="J14" s="0">
        <f>SUMIFS('Suivi Temps'!$D:$D,'Suivi Temps'!$A:$A,"P001-004")</f>
      </c>
      <c r="K14" s="0" t="inlineStr">
        <is>
          <t/>
        </is>
      </c>
      <c r="L14" s="0">
        <v>0.5</v>
      </c>
      <c r="M14" s="0" t="inlineStr">
        <is>
          <t/>
        </is>
      </c>
      <c r="N14" s="0" t="inlineStr">
        <is>
          <t/>
        </is>
      </c>
      <c r="O14" s="0" t="inlineStr">
        <is>
          <t/>
        </is>
      </c>
      <c r="P14" s="0">
        <f>IF(AND(P$9&gt;=$E14,P$9&lt;=$F14),"■","")</f>
      </c>
      <c r="Q14" s="0">
        <f>IF(AND(Q$9&gt;=$E14,Q$9&lt;=$F14),"■","")</f>
      </c>
      <c r="R14" s="0">
        <f>IF(AND(R$9&gt;=$E14,R$9&lt;=$F14),"■","")</f>
      </c>
      <c r="S14" s="0">
        <f>IF(AND(S$9&gt;=$E14,S$9&lt;=$F14),"■","")</f>
      </c>
      <c r="T14" s="0">
        <f>IF(AND(T$9&gt;=$E14,T$9&lt;=$F14),"■","")</f>
      </c>
      <c r="U14" s="0">
        <f>IF(AND(U$9&gt;=$E14,U$9&lt;=$F14),"■","")</f>
      </c>
      <c r="V14" s="0">
        <f>IF(AND(V$9&gt;=$E14,V$9&lt;=$F14),"■","")</f>
      </c>
      <c r="W14" s="0">
        <f>IF(AND(W$9&gt;=$E14,W$9&lt;=$F14),"■","")</f>
      </c>
      <c r="X14" s="0">
        <f>IF(AND(X$9&gt;=$E14,X$9&lt;=$F14),"■","")</f>
      </c>
      <c r="Y14" s="0">
        <f>IF(AND(Y$9&gt;=$E14,Y$9&lt;=$F14),"■","")</f>
      </c>
      <c r="Z14" s="0">
        <f>IF(AND(Z$9&gt;=$E14,Z$9&lt;=$F14),"■","")</f>
      </c>
      <c r="AA14" s="0">
        <f>IF(AND(AA$9&gt;=$E14,AA$9&lt;=$F14),"■","")</f>
      </c>
      <c r="AB14" s="0">
        <f>IF(AND(AB$9&gt;=$E14,AB$9&lt;=$F14),"■","")</f>
      </c>
      <c r="AC14" s="0">
        <f>IF(AND(AC$9&gt;=$E14,AC$9&lt;=$F14),"■","")</f>
      </c>
      <c r="AD14" s="0">
        <f>IF(AND(AD$9&gt;=$E14,AD$9&lt;=$F14),"■","")</f>
      </c>
      <c r="AE14" s="0">
        <f>IF(AND(AE$9&gt;=$E14,AE$9&lt;=$F14),"■","")</f>
      </c>
      <c r="AF14" s="0">
        <f>IF(AND(AF$9&gt;=$E14,AF$9&lt;=$F14),"■","")</f>
      </c>
      <c r="AG14" s="0">
        <f>IF(AND(AG$9&gt;=$E14,AG$9&lt;=$F14),"■","")</f>
      </c>
      <c r="AH14" s="0">
        <f>IF(AND(AH$9&gt;=$E14,AH$9&lt;=$F14),"■","")</f>
      </c>
      <c r="AI14" s="0">
        <f>IF(AND(AI$9&gt;=$E14,AI$9&lt;=$F14),"■","")</f>
      </c>
      <c r="AJ14" s="0">
        <f>IF(AND(AJ$9&gt;=$E14,AJ$9&lt;=$F14),"■","")</f>
      </c>
      <c r="AK14" s="0">
        <f>IF(AND(AK$9&gt;=$E14,AK$9&lt;=$F14),"■","")</f>
      </c>
      <c r="AL14" s="0">
        <f>IF(AND(AL$9&gt;=$E14,AL$9&lt;=$F14),"■","")</f>
      </c>
      <c r="AM14" s="0">
        <f>IF(AND(AM$9&gt;=$E14,AM$9&lt;=$F14),"■","")</f>
      </c>
      <c r="AN14" s="0">
        <f>IF(AND(AN$9&gt;=$E14,AN$9&lt;=$F14),"■","")</f>
      </c>
      <c r="AO14" s="0">
        <f>IF(AND(AO$9&gt;=$E14,AO$9&lt;=$F14),"■","")</f>
      </c>
      <c r="AP14" s="0">
        <f>IF(AND(AP$9&gt;=$E14,AP$9&lt;=$F14),"■","")</f>
      </c>
      <c r="AQ14" s="0">
        <f>IF(AND(AQ$9&gt;=$E14,AQ$9&lt;=$F14),"■","")</f>
      </c>
      <c r="AR14" s="0">
        <f>IF(AND(AR$9&gt;=$E14,AR$9&lt;=$F14),"■","")</f>
      </c>
      <c r="AS14" s="0">
        <f>IF(AND(AS$9&gt;=$E14,AS$9&lt;=$F14),"■","")</f>
      </c>
      <c r="AT14" s="0">
        <f>IF(AND(AT$9&gt;=$E14,AT$9&lt;=$F14),"■","")</f>
      </c>
      <c r="AU14" s="0">
        <f>IF(AND(AU$9&gt;=$E14,AU$9&lt;=$F14),"■","")</f>
      </c>
      <c r="AV14" s="0">
        <f>IF(AND(AV$9&gt;=$E14,AV$9&lt;=$F14),"■","")</f>
      </c>
      <c r="AW14" s="0">
        <f>IF(AND(AW$9&gt;=$E14,AW$9&lt;=$F14),"■","")</f>
      </c>
      <c r="AX14" s="0">
        <f>IF(AND(AX$9&gt;=$E14,AX$9&lt;=$F14),"■","")</f>
      </c>
      <c r="AY14" s="0">
        <f>IF(AND(AY$9&gt;=$E14,AY$9&lt;=$F14),"■","")</f>
      </c>
      <c r="AZ14" s="0">
        <f>IF(AND(AZ$9&gt;=$E14,AZ$9&lt;=$F14),"■","")</f>
      </c>
      <c r="BA14" s="0">
        <f>IF(AND(BA$9&gt;=$E14,BA$9&lt;=$F14),"■","")</f>
      </c>
      <c r="BB14" s="0">
        <f>IF(AND(BB$9&gt;=$E14,BB$9&lt;=$F14),"■","")</f>
      </c>
      <c r="BC14" s="0">
        <f>IF(AND(BC$9&gt;=$E14,BC$9&lt;=$F14),"■","")</f>
      </c>
      <c r="BD14" s="0">
        <f>IF(AND(BD$9&gt;=$E14,BD$9&lt;=$F14),"■","")</f>
      </c>
      <c r="BE14" s="0">
        <f>IF(AND(BE$9&gt;=$E14,BE$9&lt;=$F14),"■","")</f>
      </c>
      <c r="BF14" s="0">
        <f>IF(AND(BF$9&gt;=$E14,BF$9&lt;=$F14),"■","")</f>
      </c>
      <c r="BG14" s="0">
        <f>IF(AND(BG$9&gt;=$E14,BG$9&lt;=$F14),"■","")</f>
      </c>
      <c r="BH14" s="0">
        <f>IF(AND(BH$9&gt;=$E14,BH$9&lt;=$F14),"■","")</f>
      </c>
      <c r="BI14" s="0">
        <f>IF(AND(BI$9&gt;=$E14,BI$9&lt;=$F14),"■","")</f>
      </c>
      <c r="BJ14" s="0">
        <f>IF(AND(BJ$9&gt;=$E14,BJ$9&lt;=$F14),"■","")</f>
      </c>
      <c r="BK14" s="0">
        <f>IF(AND(BK$9&gt;=$E14,BK$9&lt;=$F14),"■","")</f>
      </c>
      <c r="BL14" s="0">
        <f>IF(AND(BL$9&gt;=$E14,BL$9&lt;=$F14),"■","")</f>
      </c>
      <c r="BM14" s="0">
        <f>IF(AND(BM$9&gt;=$E14,BM$9&lt;=$F14),"■","")</f>
      </c>
      <c r="BN14" s="0">
        <f>IF(AND(BN$9&gt;=$E14,BN$9&lt;=$F14),"■","")</f>
      </c>
      <c r="BO14" s="0">
        <f>IF(AND(BO$9&gt;=$E14,BO$9&lt;=$F14),"■","")</f>
      </c>
      <c r="BP14" s="0">
        <f>IF(AND(BP$9&gt;=$E14,BP$9&lt;=$F14),"■","")</f>
      </c>
      <c r="BQ14" s="0">
        <f>IF(AND(BQ$9&gt;=$E14,BQ$9&lt;=$F14),"■","")</f>
      </c>
      <c r="BR14" s="0">
        <f>IF(AND(BR$9&gt;=$E14,BR$9&lt;=$F14),"■","")</f>
      </c>
      <c r="BS14" s="0">
        <f>IF(AND(BS$9&gt;=$E14,BS$9&lt;=$F14),"■","")</f>
      </c>
      <c r="BT14" s="0">
        <f>IF(AND(BT$9&gt;=$E14,BT$9&lt;=$F14),"■","")</f>
      </c>
      <c r="BU14" s="0">
        <f>IF(AND(BU$9&gt;=$E14,BU$9&lt;=$F14),"■","")</f>
      </c>
      <c r="BV14" s="0">
        <f>IF(AND(BV$9&gt;=$E14,BV$9&lt;=$F14),"■","")</f>
      </c>
      <c r="BW14" s="0">
        <f>IF(AND(BW$9&gt;=$E14,BW$9&lt;=$F14),"■","")</f>
      </c>
    </row>
    <row r="15">
      <c r="A15" s="0" t="inlineStr">
        <is>
          <t>P001-005</t>
        </is>
      </c>
      <c r="B15" s="0">
        <v>1</v>
      </c>
      <c r="C15" s="0" t="inlineStr">
        <is>
          <t/>
        </is>
      </c>
      <c r="D15" s="0" t="inlineStr">
        <is>
          <t>Réalisation</t>
        </is>
      </c>
      <c r="E15" s="3">
        <v>46215</v>
      </c>
      <c r="F15" s="3">
        <v>46250</v>
      </c>
      <c r="G15" s="0">
        <v>80</v>
      </c>
      <c r="H15" s="0">
        <v>12000</v>
      </c>
      <c r="I15" s="0" t="inlineStr">
        <is>
          <t>Alice Martin; Léa Dubois</t>
        </is>
      </c>
      <c r="J15" s="0">
        <f>SUMIFS('Suivi Temps'!$D:$D,'Suivi Temps'!$A:$A,"P001-005")</f>
      </c>
      <c r="K15" s="0" t="inlineStr">
        <is>
          <t/>
        </is>
      </c>
      <c r="L15" s="0">
        <v>0.25</v>
      </c>
      <c r="M15" s="0" t="inlineStr">
        <is>
          <t/>
        </is>
      </c>
      <c r="N15" s="0" t="inlineStr">
        <is>
          <t/>
        </is>
      </c>
      <c r="O15" s="0" t="inlineStr">
        <is>
          <t/>
        </is>
      </c>
      <c r="P15" s="0">
        <f>IF(AND(P$9&gt;=$E15,P$9&lt;=$F15),"■","")</f>
      </c>
      <c r="Q15" s="0">
        <f>IF(AND(Q$9&gt;=$E15,Q$9&lt;=$F15),"■","")</f>
      </c>
      <c r="R15" s="0">
        <f>IF(AND(R$9&gt;=$E15,R$9&lt;=$F15),"■","")</f>
      </c>
      <c r="S15" s="0">
        <f>IF(AND(S$9&gt;=$E15,S$9&lt;=$F15),"■","")</f>
      </c>
      <c r="T15" s="0">
        <f>IF(AND(T$9&gt;=$E15,T$9&lt;=$F15),"■","")</f>
      </c>
      <c r="U15" s="0">
        <f>IF(AND(U$9&gt;=$E15,U$9&lt;=$F15),"■","")</f>
      </c>
      <c r="V15" s="0">
        <f>IF(AND(V$9&gt;=$E15,V$9&lt;=$F15),"■","")</f>
      </c>
      <c r="W15" s="0">
        <f>IF(AND(W$9&gt;=$E15,W$9&lt;=$F15),"■","")</f>
      </c>
      <c r="X15" s="0">
        <f>IF(AND(X$9&gt;=$E15,X$9&lt;=$F15),"■","")</f>
      </c>
      <c r="Y15" s="0">
        <f>IF(AND(Y$9&gt;=$E15,Y$9&lt;=$F15),"■","")</f>
      </c>
      <c r="Z15" s="0">
        <f>IF(AND(Z$9&gt;=$E15,Z$9&lt;=$F15),"■","")</f>
      </c>
      <c r="AA15" s="0">
        <f>IF(AND(AA$9&gt;=$E15,AA$9&lt;=$F15),"■","")</f>
      </c>
      <c r="AB15" s="0">
        <f>IF(AND(AB$9&gt;=$E15,AB$9&lt;=$F15),"■","")</f>
      </c>
      <c r="AC15" s="0">
        <f>IF(AND(AC$9&gt;=$E15,AC$9&lt;=$F15),"■","")</f>
      </c>
      <c r="AD15" s="0">
        <f>IF(AND(AD$9&gt;=$E15,AD$9&lt;=$F15),"■","")</f>
      </c>
      <c r="AE15" s="0">
        <f>IF(AND(AE$9&gt;=$E15,AE$9&lt;=$F15),"■","")</f>
      </c>
      <c r="AF15" s="0">
        <f>IF(AND(AF$9&gt;=$E15,AF$9&lt;=$F15),"■","")</f>
      </c>
      <c r="AG15" s="0">
        <f>IF(AND(AG$9&gt;=$E15,AG$9&lt;=$F15),"■","")</f>
      </c>
      <c r="AH15" s="0">
        <f>IF(AND(AH$9&gt;=$E15,AH$9&lt;=$F15),"■","")</f>
      </c>
      <c r="AI15" s="0">
        <f>IF(AND(AI$9&gt;=$E15,AI$9&lt;=$F15),"■","")</f>
      </c>
      <c r="AJ15" s="0">
        <f>IF(AND(AJ$9&gt;=$E15,AJ$9&lt;=$F15),"■","")</f>
      </c>
      <c r="AK15" s="0">
        <f>IF(AND(AK$9&gt;=$E15,AK$9&lt;=$F15),"■","")</f>
      </c>
      <c r="AL15" s="0">
        <f>IF(AND(AL$9&gt;=$E15,AL$9&lt;=$F15),"■","")</f>
      </c>
      <c r="AM15" s="0">
        <f>IF(AND(AM$9&gt;=$E15,AM$9&lt;=$F15),"■","")</f>
      </c>
      <c r="AN15" s="0">
        <f>IF(AND(AN$9&gt;=$E15,AN$9&lt;=$F15),"■","")</f>
      </c>
      <c r="AO15" s="0">
        <f>IF(AND(AO$9&gt;=$E15,AO$9&lt;=$F15),"■","")</f>
      </c>
      <c r="AP15" s="0">
        <f>IF(AND(AP$9&gt;=$E15,AP$9&lt;=$F15),"■","")</f>
      </c>
      <c r="AQ15" s="0">
        <f>IF(AND(AQ$9&gt;=$E15,AQ$9&lt;=$F15),"■","")</f>
      </c>
      <c r="AR15" s="0">
        <f>IF(AND(AR$9&gt;=$E15,AR$9&lt;=$F15),"■","")</f>
      </c>
      <c r="AS15" s="0">
        <f>IF(AND(AS$9&gt;=$E15,AS$9&lt;=$F15),"■","")</f>
      </c>
      <c r="AT15" s="0">
        <f>IF(AND(AT$9&gt;=$E15,AT$9&lt;=$F15),"■","")</f>
      </c>
      <c r="AU15" s="0">
        <f>IF(AND(AU$9&gt;=$E15,AU$9&lt;=$F15),"■","")</f>
      </c>
      <c r="AV15" s="0">
        <f>IF(AND(AV$9&gt;=$E15,AV$9&lt;=$F15),"■","")</f>
      </c>
      <c r="AW15" s="0">
        <f>IF(AND(AW$9&gt;=$E15,AW$9&lt;=$F15),"■","")</f>
      </c>
      <c r="AX15" s="0">
        <f>IF(AND(AX$9&gt;=$E15,AX$9&lt;=$F15),"■","")</f>
      </c>
      <c r="AY15" s="0">
        <f>IF(AND(AY$9&gt;=$E15,AY$9&lt;=$F15),"■","")</f>
      </c>
      <c r="AZ15" s="0">
        <f>IF(AND(AZ$9&gt;=$E15,AZ$9&lt;=$F15),"■","")</f>
      </c>
      <c r="BA15" s="0">
        <f>IF(AND(BA$9&gt;=$E15,BA$9&lt;=$F15),"■","")</f>
      </c>
      <c r="BB15" s="0">
        <f>IF(AND(BB$9&gt;=$E15,BB$9&lt;=$F15),"■","")</f>
      </c>
      <c r="BC15" s="0">
        <f>IF(AND(BC$9&gt;=$E15,BC$9&lt;=$F15),"■","")</f>
      </c>
      <c r="BD15" s="0">
        <f>IF(AND(BD$9&gt;=$E15,BD$9&lt;=$F15),"■","")</f>
      </c>
      <c r="BE15" s="0">
        <f>IF(AND(BE$9&gt;=$E15,BE$9&lt;=$F15),"■","")</f>
      </c>
      <c r="BF15" s="0">
        <f>IF(AND(BF$9&gt;=$E15,BF$9&lt;=$F15),"■","")</f>
      </c>
      <c r="BG15" s="0">
        <f>IF(AND(BG$9&gt;=$E15,BG$9&lt;=$F15),"■","")</f>
      </c>
      <c r="BH15" s="0">
        <f>IF(AND(BH$9&gt;=$E15,BH$9&lt;=$F15),"■","")</f>
      </c>
      <c r="BI15" s="0">
        <f>IF(AND(BI$9&gt;=$E15,BI$9&lt;=$F15),"■","")</f>
      </c>
      <c r="BJ15" s="0">
        <f>IF(AND(BJ$9&gt;=$E15,BJ$9&lt;=$F15),"■","")</f>
      </c>
      <c r="BK15" s="0">
        <f>IF(AND(BK$9&gt;=$E15,BK$9&lt;=$F15),"■","")</f>
      </c>
      <c r="BL15" s="0">
        <f>IF(AND(BL$9&gt;=$E15,BL$9&lt;=$F15),"■","")</f>
      </c>
      <c r="BM15" s="0">
        <f>IF(AND(BM$9&gt;=$E15,BM$9&lt;=$F15),"■","")</f>
      </c>
      <c r="BN15" s="0">
        <f>IF(AND(BN$9&gt;=$E15,BN$9&lt;=$F15),"■","")</f>
      </c>
      <c r="BO15" s="0">
        <f>IF(AND(BO$9&gt;=$E15,BO$9&lt;=$F15),"■","")</f>
      </c>
      <c r="BP15" s="0">
        <f>IF(AND(BP$9&gt;=$E15,BP$9&lt;=$F15),"■","")</f>
      </c>
      <c r="BQ15" s="0">
        <f>IF(AND(BQ$9&gt;=$E15,BQ$9&lt;=$F15),"■","")</f>
      </c>
      <c r="BR15" s="0">
        <f>IF(AND(BR$9&gt;=$E15,BR$9&lt;=$F15),"■","")</f>
      </c>
      <c r="BS15" s="0">
        <f>IF(AND(BS$9&gt;=$E15,BS$9&lt;=$F15),"■","")</f>
      </c>
      <c r="BT15" s="0">
        <f>IF(AND(BT$9&gt;=$E15,BT$9&lt;=$F15),"■","")</f>
      </c>
      <c r="BU15" s="0">
        <f>IF(AND(BU$9&gt;=$E15,BU$9&lt;=$F15),"■","")</f>
      </c>
      <c r="BV15" s="0">
        <f>IF(AND(BV$9&gt;=$E15,BV$9&lt;=$F15),"■","")</f>
      </c>
      <c r="BW15" s="0">
        <f>IF(AND(BW$9&gt;=$E15,BW$9&lt;=$F15),"■","")</f>
      </c>
    </row>
    <row r="16">
      <c r="A16" s="0" t="inlineStr">
        <is>
          <t>P001-006</t>
        </is>
      </c>
      <c r="B16" s="0">
        <v>2</v>
      </c>
      <c r="C16" s="0" t="inlineStr">
        <is>
          <t>P001-005</t>
        </is>
      </c>
      <c r="D16" s="0" t="inlineStr">
        <is>
          <t>Conception</t>
        </is>
      </c>
      <c r="E16" s="3">
        <v>46215</v>
      </c>
      <c r="F16" s="3">
        <v>46233</v>
      </c>
      <c r="G16" s="0">
        <v>22</v>
      </c>
      <c r="H16" s="0">
        <v>3500</v>
      </c>
      <c r="I16" s="0" t="inlineStr">
        <is>
          <t>Léa Dubois</t>
        </is>
      </c>
      <c r="J16" s="0">
        <f>SUMIFS('Suivi Temps'!$D:$D,'Suivi Temps'!$A:$A,"P001-006")</f>
      </c>
      <c r="K16" s="0" t="inlineStr">
        <is>
          <t/>
        </is>
      </c>
      <c r="L16" s="0">
        <v>0.4</v>
      </c>
      <c r="M16" s="0" t="inlineStr">
        <is>
          <t/>
        </is>
      </c>
      <c r="N16" s="0" t="inlineStr">
        <is>
          <t/>
        </is>
      </c>
      <c r="O16" s="0" t="inlineStr">
        <is>
          <t/>
        </is>
      </c>
      <c r="P16" s="0">
        <f>IF(AND(P$9&gt;=$E16,P$9&lt;=$F16),"■","")</f>
      </c>
      <c r="Q16" s="0">
        <f>IF(AND(Q$9&gt;=$E16,Q$9&lt;=$F16),"■","")</f>
      </c>
      <c r="R16" s="0">
        <f>IF(AND(R$9&gt;=$E16,R$9&lt;=$F16),"■","")</f>
      </c>
      <c r="S16" s="0">
        <f>IF(AND(S$9&gt;=$E16,S$9&lt;=$F16),"■","")</f>
      </c>
      <c r="T16" s="0">
        <f>IF(AND(T$9&gt;=$E16,T$9&lt;=$F16),"■","")</f>
      </c>
      <c r="U16" s="0">
        <f>IF(AND(U$9&gt;=$E16,U$9&lt;=$F16),"■","")</f>
      </c>
      <c r="V16" s="0">
        <f>IF(AND(V$9&gt;=$E16,V$9&lt;=$F16),"■","")</f>
      </c>
      <c r="W16" s="0">
        <f>IF(AND(W$9&gt;=$E16,W$9&lt;=$F16),"■","")</f>
      </c>
      <c r="X16" s="0">
        <f>IF(AND(X$9&gt;=$E16,X$9&lt;=$F16),"■","")</f>
      </c>
      <c r="Y16" s="0">
        <f>IF(AND(Y$9&gt;=$E16,Y$9&lt;=$F16),"■","")</f>
      </c>
      <c r="Z16" s="0">
        <f>IF(AND(Z$9&gt;=$E16,Z$9&lt;=$F16),"■","")</f>
      </c>
      <c r="AA16" s="0">
        <f>IF(AND(AA$9&gt;=$E16,AA$9&lt;=$F16),"■","")</f>
      </c>
      <c r="AB16" s="0">
        <f>IF(AND(AB$9&gt;=$E16,AB$9&lt;=$F16),"■","")</f>
      </c>
      <c r="AC16" s="0">
        <f>IF(AND(AC$9&gt;=$E16,AC$9&lt;=$F16),"■","")</f>
      </c>
      <c r="AD16" s="0">
        <f>IF(AND(AD$9&gt;=$E16,AD$9&lt;=$F16),"■","")</f>
      </c>
      <c r="AE16" s="0">
        <f>IF(AND(AE$9&gt;=$E16,AE$9&lt;=$F16),"■","")</f>
      </c>
      <c r="AF16" s="0">
        <f>IF(AND(AF$9&gt;=$E16,AF$9&lt;=$F16),"■","")</f>
      </c>
      <c r="AG16" s="0">
        <f>IF(AND(AG$9&gt;=$E16,AG$9&lt;=$F16),"■","")</f>
      </c>
      <c r="AH16" s="0">
        <f>IF(AND(AH$9&gt;=$E16,AH$9&lt;=$F16),"■","")</f>
      </c>
      <c r="AI16" s="0">
        <f>IF(AND(AI$9&gt;=$E16,AI$9&lt;=$F16),"■","")</f>
      </c>
      <c r="AJ16" s="0">
        <f>IF(AND(AJ$9&gt;=$E16,AJ$9&lt;=$F16),"■","")</f>
      </c>
      <c r="AK16" s="0">
        <f>IF(AND(AK$9&gt;=$E16,AK$9&lt;=$F16),"■","")</f>
      </c>
      <c r="AL16" s="0">
        <f>IF(AND(AL$9&gt;=$E16,AL$9&lt;=$F16),"■","")</f>
      </c>
      <c r="AM16" s="0">
        <f>IF(AND(AM$9&gt;=$E16,AM$9&lt;=$F16),"■","")</f>
      </c>
      <c r="AN16" s="0">
        <f>IF(AND(AN$9&gt;=$E16,AN$9&lt;=$F16),"■","")</f>
      </c>
      <c r="AO16" s="0">
        <f>IF(AND(AO$9&gt;=$E16,AO$9&lt;=$F16),"■","")</f>
      </c>
      <c r="AP16" s="0">
        <f>IF(AND(AP$9&gt;=$E16,AP$9&lt;=$F16),"■","")</f>
      </c>
      <c r="AQ16" s="0">
        <f>IF(AND(AQ$9&gt;=$E16,AQ$9&lt;=$F16),"■","")</f>
      </c>
      <c r="AR16" s="0">
        <f>IF(AND(AR$9&gt;=$E16,AR$9&lt;=$F16),"■","")</f>
      </c>
      <c r="AS16" s="0">
        <f>IF(AND(AS$9&gt;=$E16,AS$9&lt;=$F16),"■","")</f>
      </c>
      <c r="AT16" s="0">
        <f>IF(AND(AT$9&gt;=$E16,AT$9&lt;=$F16),"■","")</f>
      </c>
      <c r="AU16" s="0">
        <f>IF(AND(AU$9&gt;=$E16,AU$9&lt;=$F16),"■","")</f>
      </c>
      <c r="AV16" s="0">
        <f>IF(AND(AV$9&gt;=$E16,AV$9&lt;=$F16),"■","")</f>
      </c>
      <c r="AW16" s="0">
        <f>IF(AND(AW$9&gt;=$E16,AW$9&lt;=$F16),"■","")</f>
      </c>
      <c r="AX16" s="0">
        <f>IF(AND(AX$9&gt;=$E16,AX$9&lt;=$F16),"■","")</f>
      </c>
      <c r="AY16" s="0">
        <f>IF(AND(AY$9&gt;=$E16,AY$9&lt;=$F16),"■","")</f>
      </c>
      <c r="AZ16" s="0">
        <f>IF(AND(AZ$9&gt;=$E16,AZ$9&lt;=$F16),"■","")</f>
      </c>
      <c r="BA16" s="0">
        <f>IF(AND(BA$9&gt;=$E16,BA$9&lt;=$F16),"■","")</f>
      </c>
      <c r="BB16" s="0">
        <f>IF(AND(BB$9&gt;=$E16,BB$9&lt;=$F16),"■","")</f>
      </c>
      <c r="BC16" s="0">
        <f>IF(AND(BC$9&gt;=$E16,BC$9&lt;=$F16),"■","")</f>
      </c>
      <c r="BD16" s="0">
        <f>IF(AND(BD$9&gt;=$E16,BD$9&lt;=$F16),"■","")</f>
      </c>
      <c r="BE16" s="0">
        <f>IF(AND(BE$9&gt;=$E16,BE$9&lt;=$F16),"■","")</f>
      </c>
      <c r="BF16" s="0">
        <f>IF(AND(BF$9&gt;=$E16,BF$9&lt;=$F16),"■","")</f>
      </c>
      <c r="BG16" s="0">
        <f>IF(AND(BG$9&gt;=$E16,BG$9&lt;=$F16),"■","")</f>
      </c>
      <c r="BH16" s="0">
        <f>IF(AND(BH$9&gt;=$E16,BH$9&lt;=$F16),"■","")</f>
      </c>
      <c r="BI16" s="0">
        <f>IF(AND(BI$9&gt;=$E16,BI$9&lt;=$F16),"■","")</f>
      </c>
      <c r="BJ16" s="0">
        <f>IF(AND(BJ$9&gt;=$E16,BJ$9&lt;=$F16),"■","")</f>
      </c>
      <c r="BK16" s="0">
        <f>IF(AND(BK$9&gt;=$E16,BK$9&lt;=$F16),"■","")</f>
      </c>
      <c r="BL16" s="0">
        <f>IF(AND(BL$9&gt;=$E16,BL$9&lt;=$F16),"■","")</f>
      </c>
      <c r="BM16" s="0">
        <f>IF(AND(BM$9&gt;=$E16,BM$9&lt;=$F16),"■","")</f>
      </c>
      <c r="BN16" s="0">
        <f>IF(AND(BN$9&gt;=$E16,BN$9&lt;=$F16),"■","")</f>
      </c>
      <c r="BO16" s="0">
        <f>IF(AND(BO$9&gt;=$E16,BO$9&lt;=$F16),"■","")</f>
      </c>
      <c r="BP16" s="0">
        <f>IF(AND(BP$9&gt;=$E16,BP$9&lt;=$F16),"■","")</f>
      </c>
      <c r="BQ16" s="0">
        <f>IF(AND(BQ$9&gt;=$E16,BQ$9&lt;=$F16),"■","")</f>
      </c>
      <c r="BR16" s="0">
        <f>IF(AND(BR$9&gt;=$E16,BR$9&lt;=$F16),"■","")</f>
      </c>
      <c r="BS16" s="0">
        <f>IF(AND(BS$9&gt;=$E16,BS$9&lt;=$F16),"■","")</f>
      </c>
      <c r="BT16" s="0">
        <f>IF(AND(BT$9&gt;=$E16,BT$9&lt;=$F16),"■","")</f>
      </c>
      <c r="BU16" s="0">
        <f>IF(AND(BU$9&gt;=$E16,BU$9&lt;=$F16),"■","")</f>
      </c>
      <c r="BV16" s="0">
        <f>IF(AND(BV$9&gt;=$E16,BV$9&lt;=$F16),"■","")</f>
      </c>
      <c r="BW16" s="0">
        <f>IF(AND(BW$9&gt;=$E16,BW$9&lt;=$F16),"■","")</f>
      </c>
    </row>
    <row r="17">
      <c r="A17" s="0" t="inlineStr">
        <is>
          <t>P001-007</t>
        </is>
      </c>
      <c r="B17" s="0">
        <v>3</v>
      </c>
      <c r="C17" s="0" t="inlineStr">
        <is>
          <t>P001-006</t>
        </is>
      </c>
      <c r="D17" s="0" t="inlineStr">
        <is>
          <t>Développement lot 1</t>
        </is>
      </c>
      <c r="E17" s="3">
        <v>46222</v>
      </c>
      <c r="F17" s="3">
        <v>46250</v>
      </c>
      <c r="G17" s="0">
        <v>36</v>
      </c>
      <c r="H17" s="0">
        <v>5200</v>
      </c>
      <c r="I17" s="0" t="inlineStr">
        <is>
          <t>Karim Benali</t>
        </is>
      </c>
      <c r="J17" s="0">
        <f>SUMIFS('Suivi Temps'!$D:$D,'Suivi Temps'!$A:$A,"P001-007")</f>
      </c>
      <c r="K17" s="0" t="inlineStr">
        <is>
          <t/>
        </is>
      </c>
      <c r="L17" s="0">
        <v>0.2</v>
      </c>
      <c r="M17" s="0" t="inlineStr">
        <is>
          <t/>
        </is>
      </c>
      <c r="N17" s="0" t="inlineStr">
        <is>
          <t/>
        </is>
      </c>
      <c r="O17" s="0" t="inlineStr">
        <is>
          <t/>
        </is>
      </c>
      <c r="P17" s="0">
        <f>IF(AND(P$9&gt;=$E17,P$9&lt;=$F17),"■","")</f>
      </c>
      <c r="Q17" s="0">
        <f>IF(AND(Q$9&gt;=$E17,Q$9&lt;=$F17),"■","")</f>
      </c>
      <c r="R17" s="0">
        <f>IF(AND(R$9&gt;=$E17,R$9&lt;=$F17),"■","")</f>
      </c>
      <c r="S17" s="0">
        <f>IF(AND(S$9&gt;=$E17,S$9&lt;=$F17),"■","")</f>
      </c>
      <c r="T17" s="0">
        <f>IF(AND(T$9&gt;=$E17,T$9&lt;=$F17),"■","")</f>
      </c>
      <c r="U17" s="0">
        <f>IF(AND(U$9&gt;=$E17,U$9&lt;=$F17),"■","")</f>
      </c>
      <c r="V17" s="0">
        <f>IF(AND(V$9&gt;=$E17,V$9&lt;=$F17),"■","")</f>
      </c>
      <c r="W17" s="0">
        <f>IF(AND(W$9&gt;=$E17,W$9&lt;=$F17),"■","")</f>
      </c>
      <c r="X17" s="0">
        <f>IF(AND(X$9&gt;=$E17,X$9&lt;=$F17),"■","")</f>
      </c>
      <c r="Y17" s="0">
        <f>IF(AND(Y$9&gt;=$E17,Y$9&lt;=$F17),"■","")</f>
      </c>
      <c r="Z17" s="0">
        <f>IF(AND(Z$9&gt;=$E17,Z$9&lt;=$F17),"■","")</f>
      </c>
      <c r="AA17" s="0">
        <f>IF(AND(AA$9&gt;=$E17,AA$9&lt;=$F17),"■","")</f>
      </c>
      <c r="AB17" s="0">
        <f>IF(AND(AB$9&gt;=$E17,AB$9&lt;=$F17),"■","")</f>
      </c>
      <c r="AC17" s="0">
        <f>IF(AND(AC$9&gt;=$E17,AC$9&lt;=$F17),"■","")</f>
      </c>
      <c r="AD17" s="0">
        <f>IF(AND(AD$9&gt;=$E17,AD$9&lt;=$F17),"■","")</f>
      </c>
      <c r="AE17" s="0">
        <f>IF(AND(AE$9&gt;=$E17,AE$9&lt;=$F17),"■","")</f>
      </c>
      <c r="AF17" s="0">
        <f>IF(AND(AF$9&gt;=$E17,AF$9&lt;=$F17),"■","")</f>
      </c>
      <c r="AG17" s="0">
        <f>IF(AND(AG$9&gt;=$E17,AG$9&lt;=$F17),"■","")</f>
      </c>
      <c r="AH17" s="0">
        <f>IF(AND(AH$9&gt;=$E17,AH$9&lt;=$F17),"■","")</f>
      </c>
      <c r="AI17" s="0">
        <f>IF(AND(AI$9&gt;=$E17,AI$9&lt;=$F17),"■","")</f>
      </c>
      <c r="AJ17" s="0">
        <f>IF(AND(AJ$9&gt;=$E17,AJ$9&lt;=$F17),"■","")</f>
      </c>
      <c r="AK17" s="0">
        <f>IF(AND(AK$9&gt;=$E17,AK$9&lt;=$F17),"■","")</f>
      </c>
      <c r="AL17" s="0">
        <f>IF(AND(AL$9&gt;=$E17,AL$9&lt;=$F17),"■","")</f>
      </c>
      <c r="AM17" s="0">
        <f>IF(AND(AM$9&gt;=$E17,AM$9&lt;=$F17),"■","")</f>
      </c>
      <c r="AN17" s="0">
        <f>IF(AND(AN$9&gt;=$E17,AN$9&lt;=$F17),"■","")</f>
      </c>
      <c r="AO17" s="0">
        <f>IF(AND(AO$9&gt;=$E17,AO$9&lt;=$F17),"■","")</f>
      </c>
      <c r="AP17" s="0">
        <f>IF(AND(AP$9&gt;=$E17,AP$9&lt;=$F17),"■","")</f>
      </c>
      <c r="AQ17" s="0">
        <f>IF(AND(AQ$9&gt;=$E17,AQ$9&lt;=$F17),"■","")</f>
      </c>
      <c r="AR17" s="0">
        <f>IF(AND(AR$9&gt;=$E17,AR$9&lt;=$F17),"■","")</f>
      </c>
      <c r="AS17" s="0">
        <f>IF(AND(AS$9&gt;=$E17,AS$9&lt;=$F17),"■","")</f>
      </c>
      <c r="AT17" s="0">
        <f>IF(AND(AT$9&gt;=$E17,AT$9&lt;=$F17),"■","")</f>
      </c>
      <c r="AU17" s="0">
        <f>IF(AND(AU$9&gt;=$E17,AU$9&lt;=$F17),"■","")</f>
      </c>
      <c r="AV17" s="0">
        <f>IF(AND(AV$9&gt;=$E17,AV$9&lt;=$F17),"■","")</f>
      </c>
      <c r="AW17" s="0">
        <f>IF(AND(AW$9&gt;=$E17,AW$9&lt;=$F17),"■","")</f>
      </c>
      <c r="AX17" s="0">
        <f>IF(AND(AX$9&gt;=$E17,AX$9&lt;=$F17),"■","")</f>
      </c>
      <c r="AY17" s="0">
        <f>IF(AND(AY$9&gt;=$E17,AY$9&lt;=$F17),"■","")</f>
      </c>
      <c r="AZ17" s="0">
        <f>IF(AND(AZ$9&gt;=$E17,AZ$9&lt;=$F17),"■","")</f>
      </c>
      <c r="BA17" s="0">
        <f>IF(AND(BA$9&gt;=$E17,BA$9&lt;=$F17),"■","")</f>
      </c>
      <c r="BB17" s="0">
        <f>IF(AND(BB$9&gt;=$E17,BB$9&lt;=$F17),"■","")</f>
      </c>
      <c r="BC17" s="0">
        <f>IF(AND(BC$9&gt;=$E17,BC$9&lt;=$F17),"■","")</f>
      </c>
      <c r="BD17" s="0">
        <f>IF(AND(BD$9&gt;=$E17,BD$9&lt;=$F17),"■","")</f>
      </c>
      <c r="BE17" s="0">
        <f>IF(AND(BE$9&gt;=$E17,BE$9&lt;=$F17),"■","")</f>
      </c>
      <c r="BF17" s="0">
        <f>IF(AND(BF$9&gt;=$E17,BF$9&lt;=$F17),"■","")</f>
      </c>
      <c r="BG17" s="0">
        <f>IF(AND(BG$9&gt;=$E17,BG$9&lt;=$F17),"■","")</f>
      </c>
      <c r="BH17" s="0">
        <f>IF(AND(BH$9&gt;=$E17,BH$9&lt;=$F17),"■","")</f>
      </c>
      <c r="BI17" s="0">
        <f>IF(AND(BI$9&gt;=$E17,BI$9&lt;=$F17),"■","")</f>
      </c>
      <c r="BJ17" s="0">
        <f>IF(AND(BJ$9&gt;=$E17,BJ$9&lt;=$F17),"■","")</f>
      </c>
      <c r="BK17" s="0">
        <f>IF(AND(BK$9&gt;=$E17,BK$9&lt;=$F17),"■","")</f>
      </c>
      <c r="BL17" s="0">
        <f>IF(AND(BL$9&gt;=$E17,BL$9&lt;=$F17),"■","")</f>
      </c>
      <c r="BM17" s="0">
        <f>IF(AND(BM$9&gt;=$E17,BM$9&lt;=$F17),"■","")</f>
      </c>
      <c r="BN17" s="0">
        <f>IF(AND(BN$9&gt;=$E17,BN$9&lt;=$F17),"■","")</f>
      </c>
      <c r="BO17" s="0">
        <f>IF(AND(BO$9&gt;=$E17,BO$9&lt;=$F17),"■","")</f>
      </c>
      <c r="BP17" s="0">
        <f>IF(AND(BP$9&gt;=$E17,BP$9&lt;=$F17),"■","")</f>
      </c>
      <c r="BQ17" s="0">
        <f>IF(AND(BQ$9&gt;=$E17,BQ$9&lt;=$F17),"■","")</f>
      </c>
      <c r="BR17" s="0">
        <f>IF(AND(BR$9&gt;=$E17,BR$9&lt;=$F17),"■","")</f>
      </c>
      <c r="BS17" s="0">
        <f>IF(AND(BS$9&gt;=$E17,BS$9&lt;=$F17),"■","")</f>
      </c>
      <c r="BT17" s="0">
        <f>IF(AND(BT$9&gt;=$E17,BT$9&lt;=$F17),"■","")</f>
      </c>
      <c r="BU17" s="0">
        <f>IF(AND(BU$9&gt;=$E17,BU$9&lt;=$F17),"■","")</f>
      </c>
      <c r="BV17" s="0">
        <f>IF(AND(BV$9&gt;=$E17,BV$9&lt;=$F17),"■","")</f>
      </c>
      <c r="BW17" s="0">
        <f>IF(AND(BW$9&gt;=$E17,BW$9&lt;=$F17),"■","")</f>
      </c>
    </row>
    <row r="18">
      <c r="A18" s="0" t="inlineStr">
        <is>
          <t>P001-008</t>
        </is>
      </c>
      <c r="B18" s="0">
        <v>4</v>
      </c>
      <c r="C18" s="0" t="inlineStr">
        <is>
          <t>P001-007</t>
        </is>
      </c>
      <c r="D18" s="0" t="inlineStr">
        <is>
          <t>Paramétrage écran A</t>
        </is>
      </c>
      <c r="E18" s="3">
        <v>46224</v>
      </c>
      <c r="F18" s="3">
        <v>46247</v>
      </c>
      <c r="G18" s="0">
        <v>12</v>
      </c>
      <c r="H18" s="0">
        <v>1500</v>
      </c>
      <c r="I18" s="0" t="inlineStr">
        <is>
          <t>Nina Rossi</t>
        </is>
      </c>
      <c r="J18" s="0">
        <f>SUMIFS('Suivi Temps'!$D:$D,'Suivi Temps'!$A:$A,"P001-008")</f>
      </c>
      <c r="K18" s="0" t="inlineStr">
        <is>
          <t/>
        </is>
      </c>
      <c r="L18" s="0">
        <v>0.1</v>
      </c>
      <c r="M18" s="0" t="inlineStr">
        <is>
          <t/>
        </is>
      </c>
      <c r="N18" s="0" t="inlineStr">
        <is>
          <t/>
        </is>
      </c>
      <c r="O18" s="0" t="inlineStr">
        <is>
          <t/>
        </is>
      </c>
      <c r="P18" s="0">
        <f>IF(AND(P$9&gt;=$E18,P$9&lt;=$F18),"■","")</f>
      </c>
      <c r="Q18" s="0">
        <f>IF(AND(Q$9&gt;=$E18,Q$9&lt;=$F18),"■","")</f>
      </c>
      <c r="R18" s="0">
        <f>IF(AND(R$9&gt;=$E18,R$9&lt;=$F18),"■","")</f>
      </c>
      <c r="S18" s="0">
        <f>IF(AND(S$9&gt;=$E18,S$9&lt;=$F18),"■","")</f>
      </c>
      <c r="T18" s="0">
        <f>IF(AND(T$9&gt;=$E18,T$9&lt;=$F18),"■","")</f>
      </c>
      <c r="U18" s="0">
        <f>IF(AND(U$9&gt;=$E18,U$9&lt;=$F18),"■","")</f>
      </c>
      <c r="V18" s="0">
        <f>IF(AND(V$9&gt;=$E18,V$9&lt;=$F18),"■","")</f>
      </c>
      <c r="W18" s="0">
        <f>IF(AND(W$9&gt;=$E18,W$9&lt;=$F18),"■","")</f>
      </c>
      <c r="X18" s="0">
        <f>IF(AND(X$9&gt;=$E18,X$9&lt;=$F18),"■","")</f>
      </c>
      <c r="Y18" s="0">
        <f>IF(AND(Y$9&gt;=$E18,Y$9&lt;=$F18),"■","")</f>
      </c>
      <c r="Z18" s="0">
        <f>IF(AND(Z$9&gt;=$E18,Z$9&lt;=$F18),"■","")</f>
      </c>
      <c r="AA18" s="0">
        <f>IF(AND(AA$9&gt;=$E18,AA$9&lt;=$F18),"■","")</f>
      </c>
      <c r="AB18" s="0">
        <f>IF(AND(AB$9&gt;=$E18,AB$9&lt;=$F18),"■","")</f>
      </c>
      <c r="AC18" s="0">
        <f>IF(AND(AC$9&gt;=$E18,AC$9&lt;=$F18),"■","")</f>
      </c>
      <c r="AD18" s="0">
        <f>IF(AND(AD$9&gt;=$E18,AD$9&lt;=$F18),"■","")</f>
      </c>
      <c r="AE18" s="0">
        <f>IF(AND(AE$9&gt;=$E18,AE$9&lt;=$F18),"■","")</f>
      </c>
      <c r="AF18" s="0">
        <f>IF(AND(AF$9&gt;=$E18,AF$9&lt;=$F18),"■","")</f>
      </c>
      <c r="AG18" s="0">
        <f>IF(AND(AG$9&gt;=$E18,AG$9&lt;=$F18),"■","")</f>
      </c>
      <c r="AH18" s="0">
        <f>IF(AND(AH$9&gt;=$E18,AH$9&lt;=$F18),"■","")</f>
      </c>
      <c r="AI18" s="0">
        <f>IF(AND(AI$9&gt;=$E18,AI$9&lt;=$F18),"■","")</f>
      </c>
      <c r="AJ18" s="0">
        <f>IF(AND(AJ$9&gt;=$E18,AJ$9&lt;=$F18),"■","")</f>
      </c>
      <c r="AK18" s="0">
        <f>IF(AND(AK$9&gt;=$E18,AK$9&lt;=$F18),"■","")</f>
      </c>
      <c r="AL18" s="0">
        <f>IF(AND(AL$9&gt;=$E18,AL$9&lt;=$F18),"■","")</f>
      </c>
      <c r="AM18" s="0">
        <f>IF(AND(AM$9&gt;=$E18,AM$9&lt;=$F18),"■","")</f>
      </c>
      <c r="AN18" s="0">
        <f>IF(AND(AN$9&gt;=$E18,AN$9&lt;=$F18),"■","")</f>
      </c>
      <c r="AO18" s="0">
        <f>IF(AND(AO$9&gt;=$E18,AO$9&lt;=$F18),"■","")</f>
      </c>
      <c r="AP18" s="0">
        <f>IF(AND(AP$9&gt;=$E18,AP$9&lt;=$F18),"■","")</f>
      </c>
      <c r="AQ18" s="0">
        <f>IF(AND(AQ$9&gt;=$E18,AQ$9&lt;=$F18),"■","")</f>
      </c>
      <c r="AR18" s="0">
        <f>IF(AND(AR$9&gt;=$E18,AR$9&lt;=$F18),"■","")</f>
      </c>
      <c r="AS18" s="0">
        <f>IF(AND(AS$9&gt;=$E18,AS$9&lt;=$F18),"■","")</f>
      </c>
      <c r="AT18" s="0">
        <f>IF(AND(AT$9&gt;=$E18,AT$9&lt;=$F18),"■","")</f>
      </c>
      <c r="AU18" s="0">
        <f>IF(AND(AU$9&gt;=$E18,AU$9&lt;=$F18),"■","")</f>
      </c>
      <c r="AV18" s="0">
        <f>IF(AND(AV$9&gt;=$E18,AV$9&lt;=$F18),"■","")</f>
      </c>
      <c r="AW18" s="0">
        <f>IF(AND(AW$9&gt;=$E18,AW$9&lt;=$F18),"■","")</f>
      </c>
      <c r="AX18" s="0">
        <f>IF(AND(AX$9&gt;=$E18,AX$9&lt;=$F18),"■","")</f>
      </c>
      <c r="AY18" s="0">
        <f>IF(AND(AY$9&gt;=$E18,AY$9&lt;=$F18),"■","")</f>
      </c>
      <c r="AZ18" s="0">
        <f>IF(AND(AZ$9&gt;=$E18,AZ$9&lt;=$F18),"■","")</f>
      </c>
      <c r="BA18" s="0">
        <f>IF(AND(BA$9&gt;=$E18,BA$9&lt;=$F18),"■","")</f>
      </c>
      <c r="BB18" s="0">
        <f>IF(AND(BB$9&gt;=$E18,BB$9&lt;=$F18),"■","")</f>
      </c>
      <c r="BC18" s="0">
        <f>IF(AND(BC$9&gt;=$E18,BC$9&lt;=$F18),"■","")</f>
      </c>
      <c r="BD18" s="0">
        <f>IF(AND(BD$9&gt;=$E18,BD$9&lt;=$F18),"■","")</f>
      </c>
      <c r="BE18" s="0">
        <f>IF(AND(BE$9&gt;=$E18,BE$9&lt;=$F18),"■","")</f>
      </c>
      <c r="BF18" s="0">
        <f>IF(AND(BF$9&gt;=$E18,BF$9&lt;=$F18),"■","")</f>
      </c>
      <c r="BG18" s="0">
        <f>IF(AND(BG$9&gt;=$E18,BG$9&lt;=$F18),"■","")</f>
      </c>
      <c r="BH18" s="0">
        <f>IF(AND(BH$9&gt;=$E18,BH$9&lt;=$F18),"■","")</f>
      </c>
      <c r="BI18" s="0">
        <f>IF(AND(BI$9&gt;=$E18,BI$9&lt;=$F18),"■","")</f>
      </c>
      <c r="BJ18" s="0">
        <f>IF(AND(BJ$9&gt;=$E18,BJ$9&lt;=$F18),"■","")</f>
      </c>
      <c r="BK18" s="0">
        <f>IF(AND(BK$9&gt;=$E18,BK$9&lt;=$F18),"■","")</f>
      </c>
      <c r="BL18" s="0">
        <f>IF(AND(BL$9&gt;=$E18,BL$9&lt;=$F18),"■","")</f>
      </c>
      <c r="BM18" s="0">
        <f>IF(AND(BM$9&gt;=$E18,BM$9&lt;=$F18),"■","")</f>
      </c>
      <c r="BN18" s="0">
        <f>IF(AND(BN$9&gt;=$E18,BN$9&lt;=$F18),"■","")</f>
      </c>
      <c r="BO18" s="0">
        <f>IF(AND(BO$9&gt;=$E18,BO$9&lt;=$F18),"■","")</f>
      </c>
      <c r="BP18" s="0">
        <f>IF(AND(BP$9&gt;=$E18,BP$9&lt;=$F18),"■","")</f>
      </c>
      <c r="BQ18" s="0">
        <f>IF(AND(BQ$9&gt;=$E18,BQ$9&lt;=$F18),"■","")</f>
      </c>
      <c r="BR18" s="0">
        <f>IF(AND(BR$9&gt;=$E18,BR$9&lt;=$F18),"■","")</f>
      </c>
      <c r="BS18" s="0">
        <f>IF(AND(BS$9&gt;=$E18,BS$9&lt;=$F18),"■","")</f>
      </c>
      <c r="BT18" s="0">
        <f>IF(AND(BT$9&gt;=$E18,BT$9&lt;=$F18),"■","")</f>
      </c>
      <c r="BU18" s="0">
        <f>IF(AND(BU$9&gt;=$E18,BU$9&lt;=$F18),"■","")</f>
      </c>
      <c r="BV18" s="0">
        <f>IF(AND(BV$9&gt;=$E18,BV$9&lt;=$F18),"■","")</f>
      </c>
      <c r="BW18" s="0">
        <f>IF(AND(BW$9&gt;=$E18,BW$9&lt;=$F18),"■","")</f>
      </c>
    </row>
    <row r="19">
      <c r="A19" s="0" t="inlineStr">
        <is>
          <t>P001-009</t>
        </is>
      </c>
      <c r="B19" s="0">
        <v>1</v>
      </c>
      <c r="C19" s="0" t="inlineStr">
        <is>
          <t/>
        </is>
      </c>
      <c r="D19" s="0" t="inlineStr">
        <is>
          <t>Déploiement</t>
        </is>
      </c>
      <c r="E19" s="3">
        <v>46240</v>
      </c>
      <c r="F19" s="3">
        <v>46288</v>
      </c>
      <c r="G19" s="0">
        <v>30</v>
      </c>
      <c r="H19" s="0">
        <v>4500</v>
      </c>
      <c r="I19" s="0" t="inlineStr">
        <is>
          <t>Nina Rossi</t>
        </is>
      </c>
      <c r="J19" s="0">
        <f>SUMIFS('Suivi Temps'!$D:$D,'Suivi Temps'!$A:$A,"P001-009")</f>
      </c>
      <c r="K19" s="0" t="inlineStr">
        <is>
          <t/>
        </is>
      </c>
      <c r="L19" s="0">
        <v>0</v>
      </c>
      <c r="M19" s="0" t="inlineStr">
        <is>
          <t/>
        </is>
      </c>
      <c r="N19" s="0" t="inlineStr">
        <is>
          <t/>
        </is>
      </c>
      <c r="O19" s="0" t="inlineStr">
        <is>
          <t/>
        </is>
      </c>
      <c r="P19" s="0">
        <f>IF(AND(P$9&gt;=$E19,P$9&lt;=$F19),"■","")</f>
      </c>
      <c r="Q19" s="0">
        <f>IF(AND(Q$9&gt;=$E19,Q$9&lt;=$F19),"■","")</f>
      </c>
      <c r="R19" s="0">
        <f>IF(AND(R$9&gt;=$E19,R$9&lt;=$F19),"■","")</f>
      </c>
      <c r="S19" s="0">
        <f>IF(AND(S$9&gt;=$E19,S$9&lt;=$F19),"■","")</f>
      </c>
      <c r="T19" s="0">
        <f>IF(AND(T$9&gt;=$E19,T$9&lt;=$F19),"■","")</f>
      </c>
      <c r="U19" s="0">
        <f>IF(AND(U$9&gt;=$E19,U$9&lt;=$F19),"■","")</f>
      </c>
      <c r="V19" s="0">
        <f>IF(AND(V$9&gt;=$E19,V$9&lt;=$F19),"■","")</f>
      </c>
      <c r="W19" s="0">
        <f>IF(AND(W$9&gt;=$E19,W$9&lt;=$F19),"■","")</f>
      </c>
      <c r="X19" s="0">
        <f>IF(AND(X$9&gt;=$E19,X$9&lt;=$F19),"■","")</f>
      </c>
      <c r="Y19" s="0">
        <f>IF(AND(Y$9&gt;=$E19,Y$9&lt;=$F19),"■","")</f>
      </c>
      <c r="Z19" s="0">
        <f>IF(AND(Z$9&gt;=$E19,Z$9&lt;=$F19),"■","")</f>
      </c>
      <c r="AA19" s="0">
        <f>IF(AND(AA$9&gt;=$E19,AA$9&lt;=$F19),"■","")</f>
      </c>
      <c r="AB19" s="0">
        <f>IF(AND(AB$9&gt;=$E19,AB$9&lt;=$F19),"■","")</f>
      </c>
      <c r="AC19" s="0">
        <f>IF(AND(AC$9&gt;=$E19,AC$9&lt;=$F19),"■","")</f>
      </c>
      <c r="AD19" s="0">
        <f>IF(AND(AD$9&gt;=$E19,AD$9&lt;=$F19),"■","")</f>
      </c>
      <c r="AE19" s="0">
        <f>IF(AND(AE$9&gt;=$E19,AE$9&lt;=$F19),"■","")</f>
      </c>
      <c r="AF19" s="0">
        <f>IF(AND(AF$9&gt;=$E19,AF$9&lt;=$F19),"■","")</f>
      </c>
      <c r="AG19" s="0">
        <f>IF(AND(AG$9&gt;=$E19,AG$9&lt;=$F19),"■","")</f>
      </c>
      <c r="AH19" s="0">
        <f>IF(AND(AH$9&gt;=$E19,AH$9&lt;=$F19),"■","")</f>
      </c>
      <c r="AI19" s="0">
        <f>IF(AND(AI$9&gt;=$E19,AI$9&lt;=$F19),"■","")</f>
      </c>
      <c r="AJ19" s="0">
        <f>IF(AND(AJ$9&gt;=$E19,AJ$9&lt;=$F19),"■","")</f>
      </c>
      <c r="AK19" s="0">
        <f>IF(AND(AK$9&gt;=$E19,AK$9&lt;=$F19),"■","")</f>
      </c>
      <c r="AL19" s="0">
        <f>IF(AND(AL$9&gt;=$E19,AL$9&lt;=$F19),"■","")</f>
      </c>
      <c r="AM19" s="0">
        <f>IF(AND(AM$9&gt;=$E19,AM$9&lt;=$F19),"■","")</f>
      </c>
      <c r="AN19" s="0">
        <f>IF(AND(AN$9&gt;=$E19,AN$9&lt;=$F19),"■","")</f>
      </c>
      <c r="AO19" s="0">
        <f>IF(AND(AO$9&gt;=$E19,AO$9&lt;=$F19),"■","")</f>
      </c>
      <c r="AP19" s="0">
        <f>IF(AND(AP$9&gt;=$E19,AP$9&lt;=$F19),"■","")</f>
      </c>
      <c r="AQ19" s="0">
        <f>IF(AND(AQ$9&gt;=$E19,AQ$9&lt;=$F19),"■","")</f>
      </c>
      <c r="AR19" s="0">
        <f>IF(AND(AR$9&gt;=$E19,AR$9&lt;=$F19),"■","")</f>
      </c>
      <c r="AS19" s="0">
        <f>IF(AND(AS$9&gt;=$E19,AS$9&lt;=$F19),"■","")</f>
      </c>
      <c r="AT19" s="0">
        <f>IF(AND(AT$9&gt;=$E19,AT$9&lt;=$F19),"■","")</f>
      </c>
      <c r="AU19" s="0">
        <f>IF(AND(AU$9&gt;=$E19,AU$9&lt;=$F19),"■","")</f>
      </c>
      <c r="AV19" s="0">
        <f>IF(AND(AV$9&gt;=$E19,AV$9&lt;=$F19),"■","")</f>
      </c>
      <c r="AW19" s="0">
        <f>IF(AND(AW$9&gt;=$E19,AW$9&lt;=$F19),"■","")</f>
      </c>
      <c r="AX19" s="0">
        <f>IF(AND(AX$9&gt;=$E19,AX$9&lt;=$F19),"■","")</f>
      </c>
      <c r="AY19" s="0">
        <f>IF(AND(AY$9&gt;=$E19,AY$9&lt;=$F19),"■","")</f>
      </c>
      <c r="AZ19" s="0">
        <f>IF(AND(AZ$9&gt;=$E19,AZ$9&lt;=$F19),"■","")</f>
      </c>
      <c r="BA19" s="0">
        <f>IF(AND(BA$9&gt;=$E19,BA$9&lt;=$F19),"■","")</f>
      </c>
      <c r="BB19" s="0">
        <f>IF(AND(BB$9&gt;=$E19,BB$9&lt;=$F19),"■","")</f>
      </c>
      <c r="BC19" s="0">
        <f>IF(AND(BC$9&gt;=$E19,BC$9&lt;=$F19),"■","")</f>
      </c>
      <c r="BD19" s="0">
        <f>IF(AND(BD$9&gt;=$E19,BD$9&lt;=$F19),"■","")</f>
      </c>
      <c r="BE19" s="0">
        <f>IF(AND(BE$9&gt;=$E19,BE$9&lt;=$F19),"■","")</f>
      </c>
      <c r="BF19" s="0">
        <f>IF(AND(BF$9&gt;=$E19,BF$9&lt;=$F19),"■","")</f>
      </c>
      <c r="BG19" s="0">
        <f>IF(AND(BG$9&gt;=$E19,BG$9&lt;=$F19),"■","")</f>
      </c>
      <c r="BH19" s="0">
        <f>IF(AND(BH$9&gt;=$E19,BH$9&lt;=$F19),"■","")</f>
      </c>
      <c r="BI19" s="0">
        <f>IF(AND(BI$9&gt;=$E19,BI$9&lt;=$F19),"■","")</f>
      </c>
      <c r="BJ19" s="0">
        <f>IF(AND(BJ$9&gt;=$E19,BJ$9&lt;=$F19),"■","")</f>
      </c>
      <c r="BK19" s="0">
        <f>IF(AND(BK$9&gt;=$E19,BK$9&lt;=$F19),"■","")</f>
      </c>
      <c r="BL19" s="0">
        <f>IF(AND(BL$9&gt;=$E19,BL$9&lt;=$F19),"■","")</f>
      </c>
      <c r="BM19" s="0">
        <f>IF(AND(BM$9&gt;=$E19,BM$9&lt;=$F19),"■","")</f>
      </c>
      <c r="BN19" s="0">
        <f>IF(AND(BN$9&gt;=$E19,BN$9&lt;=$F19),"■","")</f>
      </c>
      <c r="BO19" s="0">
        <f>IF(AND(BO$9&gt;=$E19,BO$9&lt;=$F19),"■","")</f>
      </c>
      <c r="BP19" s="0">
        <f>IF(AND(BP$9&gt;=$E19,BP$9&lt;=$F19),"■","")</f>
      </c>
      <c r="BQ19" s="0">
        <f>IF(AND(BQ$9&gt;=$E19,BQ$9&lt;=$F19),"■","")</f>
      </c>
      <c r="BR19" s="0">
        <f>IF(AND(BR$9&gt;=$E19,BR$9&lt;=$F19),"■","")</f>
      </c>
      <c r="BS19" s="0">
        <f>IF(AND(BS$9&gt;=$E19,BS$9&lt;=$F19),"■","")</f>
      </c>
      <c r="BT19" s="0">
        <f>IF(AND(BT$9&gt;=$E19,BT$9&lt;=$F19),"■","")</f>
      </c>
      <c r="BU19" s="0">
        <f>IF(AND(BU$9&gt;=$E19,BU$9&lt;=$F19),"■","")</f>
      </c>
      <c r="BV19" s="0">
        <f>IF(AND(BV$9&gt;=$E19,BV$9&lt;=$F19),"■","")</f>
      </c>
      <c r="BW19" s="0">
        <f>IF(AND(BW$9&gt;=$E19,BW$9&lt;=$F19),"■","")</f>
      </c>
    </row>
    <row r="20">
      <c r="A20" s="0" t="inlineStr">
        <is>
          <t>P001-010</t>
        </is>
      </c>
      <c r="B20" s="0" t="inlineStr">
        <is>
          <t/>
        </is>
      </c>
      <c r="C20" s="0" t="inlineStr">
        <is>
          <t/>
        </is>
      </c>
      <c r="D20" s="0" t="inlineStr">
        <is>
          <t/>
        </is>
      </c>
      <c r="E20" s="0" t="inlineStr">
        <is>
          <t/>
        </is>
      </c>
      <c r="F20" s="0" t="inlineStr">
        <is>
          <t/>
        </is>
      </c>
      <c r="G20" s="0" t="inlineStr">
        <is>
          <t/>
        </is>
      </c>
      <c r="H20" s="0" t="inlineStr">
        <is>
          <t/>
        </is>
      </c>
      <c r="I20" s="0" t="inlineStr">
        <is>
          <t/>
        </is>
      </c>
      <c r="J20" s="0">
        <f>SUMIFS('Suivi Temps'!$D:$D,'Suivi Temps'!$A:$A,"P001-010")</f>
      </c>
      <c r="K20" s="0" t="inlineStr">
        <is>
          <t/>
        </is>
      </c>
      <c r="L20" s="0" t="inlineStr">
        <is>
          <t/>
        </is>
      </c>
      <c r="M20" s="0" t="inlineStr">
        <is>
          <t/>
        </is>
      </c>
      <c r="N20" s="0" t="inlineStr">
        <is>
          <t/>
        </is>
      </c>
      <c r="O20" s="0" t="inlineStr">
        <is>
          <t/>
        </is>
      </c>
      <c r="P20" s="0">
        <f>IF(AND(P$9&gt;=$E20,P$9&lt;=$F20),"■","")</f>
      </c>
      <c r="Q20" s="0">
        <f>IF(AND(Q$9&gt;=$E20,Q$9&lt;=$F20),"■","")</f>
      </c>
      <c r="R20" s="0">
        <f>IF(AND(R$9&gt;=$E20,R$9&lt;=$F20),"■","")</f>
      </c>
      <c r="S20" s="0">
        <f>IF(AND(S$9&gt;=$E20,S$9&lt;=$F20),"■","")</f>
      </c>
      <c r="T20" s="0">
        <f>IF(AND(T$9&gt;=$E20,T$9&lt;=$F20),"■","")</f>
      </c>
      <c r="U20" s="0">
        <f>IF(AND(U$9&gt;=$E20,U$9&lt;=$F20),"■","")</f>
      </c>
      <c r="V20" s="0">
        <f>IF(AND(V$9&gt;=$E20,V$9&lt;=$F20),"■","")</f>
      </c>
      <c r="W20" s="0">
        <f>IF(AND(W$9&gt;=$E20,W$9&lt;=$F20),"■","")</f>
      </c>
      <c r="X20" s="0">
        <f>IF(AND(X$9&gt;=$E20,X$9&lt;=$F20),"■","")</f>
      </c>
      <c r="Y20" s="0">
        <f>IF(AND(Y$9&gt;=$E20,Y$9&lt;=$F20),"■","")</f>
      </c>
      <c r="Z20" s="0">
        <f>IF(AND(Z$9&gt;=$E20,Z$9&lt;=$F20),"■","")</f>
      </c>
      <c r="AA20" s="0">
        <f>IF(AND(AA$9&gt;=$E20,AA$9&lt;=$F20),"■","")</f>
      </c>
      <c r="AB20" s="0">
        <f>IF(AND(AB$9&gt;=$E20,AB$9&lt;=$F20),"■","")</f>
      </c>
      <c r="AC20" s="0">
        <f>IF(AND(AC$9&gt;=$E20,AC$9&lt;=$F20),"■","")</f>
      </c>
      <c r="AD20" s="0">
        <f>IF(AND(AD$9&gt;=$E20,AD$9&lt;=$F20),"■","")</f>
      </c>
      <c r="AE20" s="0">
        <f>IF(AND(AE$9&gt;=$E20,AE$9&lt;=$F20),"■","")</f>
      </c>
      <c r="AF20" s="0">
        <f>IF(AND(AF$9&gt;=$E20,AF$9&lt;=$F20),"■","")</f>
      </c>
      <c r="AG20" s="0">
        <f>IF(AND(AG$9&gt;=$E20,AG$9&lt;=$F20),"■","")</f>
      </c>
      <c r="AH20" s="0">
        <f>IF(AND(AH$9&gt;=$E20,AH$9&lt;=$F20),"■","")</f>
      </c>
      <c r="AI20" s="0">
        <f>IF(AND(AI$9&gt;=$E20,AI$9&lt;=$F20),"■","")</f>
      </c>
      <c r="AJ20" s="0">
        <f>IF(AND(AJ$9&gt;=$E20,AJ$9&lt;=$F20),"■","")</f>
      </c>
      <c r="AK20" s="0">
        <f>IF(AND(AK$9&gt;=$E20,AK$9&lt;=$F20),"■","")</f>
      </c>
      <c r="AL20" s="0">
        <f>IF(AND(AL$9&gt;=$E20,AL$9&lt;=$F20),"■","")</f>
      </c>
      <c r="AM20" s="0">
        <f>IF(AND(AM$9&gt;=$E20,AM$9&lt;=$F20),"■","")</f>
      </c>
      <c r="AN20" s="0">
        <f>IF(AND(AN$9&gt;=$E20,AN$9&lt;=$F20),"■","")</f>
      </c>
      <c r="AO20" s="0">
        <f>IF(AND(AO$9&gt;=$E20,AO$9&lt;=$F20),"■","")</f>
      </c>
      <c r="AP20" s="0">
        <f>IF(AND(AP$9&gt;=$E20,AP$9&lt;=$F20),"■","")</f>
      </c>
      <c r="AQ20" s="0">
        <f>IF(AND(AQ$9&gt;=$E20,AQ$9&lt;=$F20),"■","")</f>
      </c>
      <c r="AR20" s="0">
        <f>IF(AND(AR$9&gt;=$E20,AR$9&lt;=$F20),"■","")</f>
      </c>
      <c r="AS20" s="0">
        <f>IF(AND(AS$9&gt;=$E20,AS$9&lt;=$F20),"■","")</f>
      </c>
      <c r="AT20" s="0">
        <f>IF(AND(AT$9&gt;=$E20,AT$9&lt;=$F20),"■","")</f>
      </c>
      <c r="AU20" s="0">
        <f>IF(AND(AU$9&gt;=$E20,AU$9&lt;=$F20),"■","")</f>
      </c>
      <c r="AV20" s="0">
        <f>IF(AND(AV$9&gt;=$E20,AV$9&lt;=$F20),"■","")</f>
      </c>
      <c r="AW20" s="0">
        <f>IF(AND(AW$9&gt;=$E20,AW$9&lt;=$F20),"■","")</f>
      </c>
      <c r="AX20" s="0">
        <f>IF(AND(AX$9&gt;=$E20,AX$9&lt;=$F20),"■","")</f>
      </c>
      <c r="AY20" s="0">
        <f>IF(AND(AY$9&gt;=$E20,AY$9&lt;=$F20),"■","")</f>
      </c>
      <c r="AZ20" s="0">
        <f>IF(AND(AZ$9&gt;=$E20,AZ$9&lt;=$F20),"■","")</f>
      </c>
      <c r="BA20" s="0">
        <f>IF(AND(BA$9&gt;=$E20,BA$9&lt;=$F20),"■","")</f>
      </c>
      <c r="BB20" s="0">
        <f>IF(AND(BB$9&gt;=$E20,BB$9&lt;=$F20),"■","")</f>
      </c>
      <c r="BC20" s="0">
        <f>IF(AND(BC$9&gt;=$E20,BC$9&lt;=$F20),"■","")</f>
      </c>
      <c r="BD20" s="0">
        <f>IF(AND(BD$9&gt;=$E20,BD$9&lt;=$F20),"■","")</f>
      </c>
      <c r="BE20" s="0">
        <f>IF(AND(BE$9&gt;=$E20,BE$9&lt;=$F20),"■","")</f>
      </c>
      <c r="BF20" s="0">
        <f>IF(AND(BF$9&gt;=$E20,BF$9&lt;=$F20),"■","")</f>
      </c>
      <c r="BG20" s="0">
        <f>IF(AND(BG$9&gt;=$E20,BG$9&lt;=$F20),"■","")</f>
      </c>
      <c r="BH20" s="0">
        <f>IF(AND(BH$9&gt;=$E20,BH$9&lt;=$F20),"■","")</f>
      </c>
      <c r="BI20" s="0">
        <f>IF(AND(BI$9&gt;=$E20,BI$9&lt;=$F20),"■","")</f>
      </c>
      <c r="BJ20" s="0">
        <f>IF(AND(BJ$9&gt;=$E20,BJ$9&lt;=$F20),"■","")</f>
      </c>
      <c r="BK20" s="0">
        <f>IF(AND(BK$9&gt;=$E20,BK$9&lt;=$F20),"■","")</f>
      </c>
      <c r="BL20" s="0">
        <f>IF(AND(BL$9&gt;=$E20,BL$9&lt;=$F20),"■","")</f>
      </c>
      <c r="BM20" s="0">
        <f>IF(AND(BM$9&gt;=$E20,BM$9&lt;=$F20),"■","")</f>
      </c>
      <c r="BN20" s="0">
        <f>IF(AND(BN$9&gt;=$E20,BN$9&lt;=$F20),"■","")</f>
      </c>
      <c r="BO20" s="0">
        <f>IF(AND(BO$9&gt;=$E20,BO$9&lt;=$F20),"■","")</f>
      </c>
      <c r="BP20" s="0">
        <f>IF(AND(BP$9&gt;=$E20,BP$9&lt;=$F20),"■","")</f>
      </c>
      <c r="BQ20" s="0">
        <f>IF(AND(BQ$9&gt;=$E20,BQ$9&lt;=$F20),"■","")</f>
      </c>
      <c r="BR20" s="0">
        <f>IF(AND(BR$9&gt;=$E20,BR$9&lt;=$F20),"■","")</f>
      </c>
      <c r="BS20" s="0">
        <f>IF(AND(BS$9&gt;=$E20,BS$9&lt;=$F20),"■","")</f>
      </c>
      <c r="BT20" s="0">
        <f>IF(AND(BT$9&gt;=$E20,BT$9&lt;=$F20),"■","")</f>
      </c>
      <c r="BU20" s="0">
        <f>IF(AND(BU$9&gt;=$E20,BU$9&lt;=$F20),"■","")</f>
      </c>
      <c r="BV20" s="0">
        <f>IF(AND(BV$9&gt;=$E20,BV$9&lt;=$F20),"■","")</f>
      </c>
      <c r="BW20" s="0">
        <f>IF(AND(BW$9&gt;=$E20,BW$9&lt;=$F20),"■","")</f>
      </c>
    </row>
    <row r="21">
      <c r="A21" s="0" t="inlineStr">
        <is>
          <t>P001-011</t>
        </is>
      </c>
      <c r="B21" s="0" t="inlineStr">
        <is>
          <t/>
        </is>
      </c>
      <c r="C21" s="0" t="inlineStr">
        <is>
          <t/>
        </is>
      </c>
      <c r="D21" s="0" t="inlineStr">
        <is>
          <t/>
        </is>
      </c>
      <c r="E21" s="0" t="inlineStr">
        <is>
          <t/>
        </is>
      </c>
      <c r="F21" s="0" t="inlineStr">
        <is>
          <t/>
        </is>
      </c>
      <c r="G21" s="0" t="inlineStr">
        <is>
          <t/>
        </is>
      </c>
      <c r="H21" s="0" t="inlineStr">
        <is>
          <t/>
        </is>
      </c>
      <c r="I21" s="0" t="inlineStr">
        <is>
          <t/>
        </is>
      </c>
      <c r="J21" s="0">
        <f>SUMIFS('Suivi Temps'!$D:$D,'Suivi Temps'!$A:$A,"P001-011")</f>
      </c>
      <c r="K21" s="0" t="inlineStr">
        <is>
          <t/>
        </is>
      </c>
      <c r="L21" s="0" t="inlineStr">
        <is>
          <t/>
        </is>
      </c>
      <c r="M21" s="0" t="inlineStr">
        <is>
          <t/>
        </is>
      </c>
      <c r="N21" s="0" t="inlineStr">
        <is>
          <t/>
        </is>
      </c>
      <c r="O21" s="0" t="inlineStr">
        <is>
          <t/>
        </is>
      </c>
      <c r="P21" s="0">
        <f>IF(AND(P$9&gt;=$E21,P$9&lt;=$F21),"■","")</f>
      </c>
      <c r="Q21" s="0">
        <f>IF(AND(Q$9&gt;=$E21,Q$9&lt;=$F21),"■","")</f>
      </c>
      <c r="R21" s="0">
        <f>IF(AND(R$9&gt;=$E21,R$9&lt;=$F21),"■","")</f>
      </c>
      <c r="S21" s="0">
        <f>IF(AND(S$9&gt;=$E21,S$9&lt;=$F21),"■","")</f>
      </c>
      <c r="T21" s="0">
        <f>IF(AND(T$9&gt;=$E21,T$9&lt;=$F21),"■","")</f>
      </c>
      <c r="U21" s="0">
        <f>IF(AND(U$9&gt;=$E21,U$9&lt;=$F21),"■","")</f>
      </c>
      <c r="V21" s="0">
        <f>IF(AND(V$9&gt;=$E21,V$9&lt;=$F21),"■","")</f>
      </c>
      <c r="W21" s="0">
        <f>IF(AND(W$9&gt;=$E21,W$9&lt;=$F21),"■","")</f>
      </c>
      <c r="X21" s="0">
        <f>IF(AND(X$9&gt;=$E21,X$9&lt;=$F21),"■","")</f>
      </c>
      <c r="Y21" s="0">
        <f>IF(AND(Y$9&gt;=$E21,Y$9&lt;=$F21),"■","")</f>
      </c>
      <c r="Z21" s="0">
        <f>IF(AND(Z$9&gt;=$E21,Z$9&lt;=$F21),"■","")</f>
      </c>
      <c r="AA21" s="0">
        <f>IF(AND(AA$9&gt;=$E21,AA$9&lt;=$F21),"■","")</f>
      </c>
      <c r="AB21" s="0">
        <f>IF(AND(AB$9&gt;=$E21,AB$9&lt;=$F21),"■","")</f>
      </c>
      <c r="AC21" s="0">
        <f>IF(AND(AC$9&gt;=$E21,AC$9&lt;=$F21),"■","")</f>
      </c>
      <c r="AD21" s="0">
        <f>IF(AND(AD$9&gt;=$E21,AD$9&lt;=$F21),"■","")</f>
      </c>
      <c r="AE21" s="0">
        <f>IF(AND(AE$9&gt;=$E21,AE$9&lt;=$F21),"■","")</f>
      </c>
      <c r="AF21" s="0">
        <f>IF(AND(AF$9&gt;=$E21,AF$9&lt;=$F21),"■","")</f>
      </c>
      <c r="AG21" s="0">
        <f>IF(AND(AG$9&gt;=$E21,AG$9&lt;=$F21),"■","")</f>
      </c>
      <c r="AH21" s="0">
        <f>IF(AND(AH$9&gt;=$E21,AH$9&lt;=$F21),"■","")</f>
      </c>
      <c r="AI21" s="0">
        <f>IF(AND(AI$9&gt;=$E21,AI$9&lt;=$F21),"■","")</f>
      </c>
      <c r="AJ21" s="0">
        <f>IF(AND(AJ$9&gt;=$E21,AJ$9&lt;=$F21),"■","")</f>
      </c>
      <c r="AK21" s="0">
        <f>IF(AND(AK$9&gt;=$E21,AK$9&lt;=$F21),"■","")</f>
      </c>
      <c r="AL21" s="0">
        <f>IF(AND(AL$9&gt;=$E21,AL$9&lt;=$F21),"■","")</f>
      </c>
      <c r="AM21" s="0">
        <f>IF(AND(AM$9&gt;=$E21,AM$9&lt;=$F21),"■","")</f>
      </c>
      <c r="AN21" s="0">
        <f>IF(AND(AN$9&gt;=$E21,AN$9&lt;=$F21),"■","")</f>
      </c>
      <c r="AO21" s="0">
        <f>IF(AND(AO$9&gt;=$E21,AO$9&lt;=$F21),"■","")</f>
      </c>
      <c r="AP21" s="0">
        <f>IF(AND(AP$9&gt;=$E21,AP$9&lt;=$F21),"■","")</f>
      </c>
      <c r="AQ21" s="0">
        <f>IF(AND(AQ$9&gt;=$E21,AQ$9&lt;=$F21),"■","")</f>
      </c>
      <c r="AR21" s="0">
        <f>IF(AND(AR$9&gt;=$E21,AR$9&lt;=$F21),"■","")</f>
      </c>
      <c r="AS21" s="0">
        <f>IF(AND(AS$9&gt;=$E21,AS$9&lt;=$F21),"■","")</f>
      </c>
      <c r="AT21" s="0">
        <f>IF(AND(AT$9&gt;=$E21,AT$9&lt;=$F21),"■","")</f>
      </c>
      <c r="AU21" s="0">
        <f>IF(AND(AU$9&gt;=$E21,AU$9&lt;=$F21),"■","")</f>
      </c>
      <c r="AV21" s="0">
        <f>IF(AND(AV$9&gt;=$E21,AV$9&lt;=$F21),"■","")</f>
      </c>
      <c r="AW21" s="0">
        <f>IF(AND(AW$9&gt;=$E21,AW$9&lt;=$F21),"■","")</f>
      </c>
      <c r="AX21" s="0">
        <f>IF(AND(AX$9&gt;=$E21,AX$9&lt;=$F21),"■","")</f>
      </c>
      <c r="AY21" s="0">
        <f>IF(AND(AY$9&gt;=$E21,AY$9&lt;=$F21),"■","")</f>
      </c>
      <c r="AZ21" s="0">
        <f>IF(AND(AZ$9&gt;=$E21,AZ$9&lt;=$F21),"■","")</f>
      </c>
      <c r="BA21" s="0">
        <f>IF(AND(BA$9&gt;=$E21,BA$9&lt;=$F21),"■","")</f>
      </c>
      <c r="BB21" s="0">
        <f>IF(AND(BB$9&gt;=$E21,BB$9&lt;=$F21),"■","")</f>
      </c>
      <c r="BC21" s="0">
        <f>IF(AND(BC$9&gt;=$E21,BC$9&lt;=$F21),"■","")</f>
      </c>
      <c r="BD21" s="0">
        <f>IF(AND(BD$9&gt;=$E21,BD$9&lt;=$F21),"■","")</f>
      </c>
      <c r="BE21" s="0">
        <f>IF(AND(BE$9&gt;=$E21,BE$9&lt;=$F21),"■","")</f>
      </c>
      <c r="BF21" s="0">
        <f>IF(AND(BF$9&gt;=$E21,BF$9&lt;=$F21),"■","")</f>
      </c>
      <c r="BG21" s="0">
        <f>IF(AND(BG$9&gt;=$E21,BG$9&lt;=$F21),"■","")</f>
      </c>
      <c r="BH21" s="0">
        <f>IF(AND(BH$9&gt;=$E21,BH$9&lt;=$F21),"■","")</f>
      </c>
      <c r="BI21" s="0">
        <f>IF(AND(BI$9&gt;=$E21,BI$9&lt;=$F21),"■","")</f>
      </c>
      <c r="BJ21" s="0">
        <f>IF(AND(BJ$9&gt;=$E21,BJ$9&lt;=$F21),"■","")</f>
      </c>
      <c r="BK21" s="0">
        <f>IF(AND(BK$9&gt;=$E21,BK$9&lt;=$F21),"■","")</f>
      </c>
      <c r="BL21" s="0">
        <f>IF(AND(BL$9&gt;=$E21,BL$9&lt;=$F21),"■","")</f>
      </c>
      <c r="BM21" s="0">
        <f>IF(AND(BM$9&gt;=$E21,BM$9&lt;=$F21),"■","")</f>
      </c>
      <c r="BN21" s="0">
        <f>IF(AND(BN$9&gt;=$E21,BN$9&lt;=$F21),"■","")</f>
      </c>
      <c r="BO21" s="0">
        <f>IF(AND(BO$9&gt;=$E21,BO$9&lt;=$F21),"■","")</f>
      </c>
      <c r="BP21" s="0">
        <f>IF(AND(BP$9&gt;=$E21,BP$9&lt;=$F21),"■","")</f>
      </c>
      <c r="BQ21" s="0">
        <f>IF(AND(BQ$9&gt;=$E21,BQ$9&lt;=$F21),"■","")</f>
      </c>
      <c r="BR21" s="0">
        <f>IF(AND(BR$9&gt;=$E21,BR$9&lt;=$F21),"■","")</f>
      </c>
      <c r="BS21" s="0">
        <f>IF(AND(BS$9&gt;=$E21,BS$9&lt;=$F21),"■","")</f>
      </c>
      <c r="BT21" s="0">
        <f>IF(AND(BT$9&gt;=$E21,BT$9&lt;=$F21),"■","")</f>
      </c>
      <c r="BU21" s="0">
        <f>IF(AND(BU$9&gt;=$E21,BU$9&lt;=$F21),"■","")</f>
      </c>
      <c r="BV21" s="0">
        <f>IF(AND(BV$9&gt;=$E21,BV$9&lt;=$F21),"■","")</f>
      </c>
      <c r="BW21" s="0">
        <f>IF(AND(BW$9&gt;=$E21,BW$9&lt;=$F21),"■","")</f>
      </c>
    </row>
    <row r="22">
      <c r="A22" s="0" t="inlineStr">
        <is>
          <t>P001-012</t>
        </is>
      </c>
      <c r="B22" s="0" t="inlineStr">
        <is>
          <t/>
        </is>
      </c>
      <c r="C22" s="0" t="inlineStr">
        <is>
          <t/>
        </is>
      </c>
      <c r="D22" s="0" t="inlineStr">
        <is>
          <t/>
        </is>
      </c>
      <c r="E22" s="0" t="inlineStr">
        <is>
          <t/>
        </is>
      </c>
      <c r="F22" s="0" t="inlineStr">
        <is>
          <t/>
        </is>
      </c>
      <c r="G22" s="0" t="inlineStr">
        <is>
          <t/>
        </is>
      </c>
      <c r="H22" s="0" t="inlineStr">
        <is>
          <t/>
        </is>
      </c>
      <c r="I22" s="0" t="inlineStr">
        <is>
          <t/>
        </is>
      </c>
      <c r="J22" s="0">
        <f>SUMIFS('Suivi Temps'!$D:$D,'Suivi Temps'!$A:$A,"P001-012")</f>
      </c>
      <c r="K22" s="0" t="inlineStr">
        <is>
          <t/>
        </is>
      </c>
      <c r="L22" s="0" t="inlineStr">
        <is>
          <t/>
        </is>
      </c>
      <c r="M22" s="0" t="inlineStr">
        <is>
          <t/>
        </is>
      </c>
      <c r="N22" s="0" t="inlineStr">
        <is>
          <t/>
        </is>
      </c>
      <c r="O22" s="0" t="inlineStr">
        <is>
          <t/>
        </is>
      </c>
      <c r="P22" s="0">
        <f>IF(AND(P$9&gt;=$E22,P$9&lt;=$F22),"■","")</f>
      </c>
      <c r="Q22" s="0">
        <f>IF(AND(Q$9&gt;=$E22,Q$9&lt;=$F22),"■","")</f>
      </c>
      <c r="R22" s="0">
        <f>IF(AND(R$9&gt;=$E22,R$9&lt;=$F22),"■","")</f>
      </c>
      <c r="S22" s="0">
        <f>IF(AND(S$9&gt;=$E22,S$9&lt;=$F22),"■","")</f>
      </c>
      <c r="T22" s="0">
        <f>IF(AND(T$9&gt;=$E22,T$9&lt;=$F22),"■","")</f>
      </c>
      <c r="U22" s="0">
        <f>IF(AND(U$9&gt;=$E22,U$9&lt;=$F22),"■","")</f>
      </c>
      <c r="V22" s="0">
        <f>IF(AND(V$9&gt;=$E22,V$9&lt;=$F22),"■","")</f>
      </c>
      <c r="W22" s="0">
        <f>IF(AND(W$9&gt;=$E22,W$9&lt;=$F22),"■","")</f>
      </c>
      <c r="X22" s="0">
        <f>IF(AND(X$9&gt;=$E22,X$9&lt;=$F22),"■","")</f>
      </c>
      <c r="Y22" s="0">
        <f>IF(AND(Y$9&gt;=$E22,Y$9&lt;=$F22),"■","")</f>
      </c>
      <c r="Z22" s="0">
        <f>IF(AND(Z$9&gt;=$E22,Z$9&lt;=$F22),"■","")</f>
      </c>
      <c r="AA22" s="0">
        <f>IF(AND(AA$9&gt;=$E22,AA$9&lt;=$F22),"■","")</f>
      </c>
      <c r="AB22" s="0">
        <f>IF(AND(AB$9&gt;=$E22,AB$9&lt;=$F22),"■","")</f>
      </c>
      <c r="AC22" s="0">
        <f>IF(AND(AC$9&gt;=$E22,AC$9&lt;=$F22),"■","")</f>
      </c>
      <c r="AD22" s="0">
        <f>IF(AND(AD$9&gt;=$E22,AD$9&lt;=$F22),"■","")</f>
      </c>
      <c r="AE22" s="0">
        <f>IF(AND(AE$9&gt;=$E22,AE$9&lt;=$F22),"■","")</f>
      </c>
      <c r="AF22" s="0">
        <f>IF(AND(AF$9&gt;=$E22,AF$9&lt;=$F22),"■","")</f>
      </c>
      <c r="AG22" s="0">
        <f>IF(AND(AG$9&gt;=$E22,AG$9&lt;=$F22),"■","")</f>
      </c>
      <c r="AH22" s="0">
        <f>IF(AND(AH$9&gt;=$E22,AH$9&lt;=$F22),"■","")</f>
      </c>
      <c r="AI22" s="0">
        <f>IF(AND(AI$9&gt;=$E22,AI$9&lt;=$F22),"■","")</f>
      </c>
      <c r="AJ22" s="0">
        <f>IF(AND(AJ$9&gt;=$E22,AJ$9&lt;=$F22),"■","")</f>
      </c>
      <c r="AK22" s="0">
        <f>IF(AND(AK$9&gt;=$E22,AK$9&lt;=$F22),"■","")</f>
      </c>
      <c r="AL22" s="0">
        <f>IF(AND(AL$9&gt;=$E22,AL$9&lt;=$F22),"■","")</f>
      </c>
      <c r="AM22" s="0">
        <f>IF(AND(AM$9&gt;=$E22,AM$9&lt;=$F22),"■","")</f>
      </c>
      <c r="AN22" s="0">
        <f>IF(AND(AN$9&gt;=$E22,AN$9&lt;=$F22),"■","")</f>
      </c>
      <c r="AO22" s="0">
        <f>IF(AND(AO$9&gt;=$E22,AO$9&lt;=$F22),"■","")</f>
      </c>
      <c r="AP22" s="0">
        <f>IF(AND(AP$9&gt;=$E22,AP$9&lt;=$F22),"■","")</f>
      </c>
      <c r="AQ22" s="0">
        <f>IF(AND(AQ$9&gt;=$E22,AQ$9&lt;=$F22),"■","")</f>
      </c>
      <c r="AR22" s="0">
        <f>IF(AND(AR$9&gt;=$E22,AR$9&lt;=$F22),"■","")</f>
      </c>
      <c r="AS22" s="0">
        <f>IF(AND(AS$9&gt;=$E22,AS$9&lt;=$F22),"■","")</f>
      </c>
      <c r="AT22" s="0">
        <f>IF(AND(AT$9&gt;=$E22,AT$9&lt;=$F22),"■","")</f>
      </c>
      <c r="AU22" s="0">
        <f>IF(AND(AU$9&gt;=$E22,AU$9&lt;=$F22),"■","")</f>
      </c>
      <c r="AV22" s="0">
        <f>IF(AND(AV$9&gt;=$E22,AV$9&lt;=$F22),"■","")</f>
      </c>
      <c r="AW22" s="0">
        <f>IF(AND(AW$9&gt;=$E22,AW$9&lt;=$F22),"■","")</f>
      </c>
      <c r="AX22" s="0">
        <f>IF(AND(AX$9&gt;=$E22,AX$9&lt;=$F22),"■","")</f>
      </c>
      <c r="AY22" s="0">
        <f>IF(AND(AY$9&gt;=$E22,AY$9&lt;=$F22),"■","")</f>
      </c>
      <c r="AZ22" s="0">
        <f>IF(AND(AZ$9&gt;=$E22,AZ$9&lt;=$F22),"■","")</f>
      </c>
      <c r="BA22" s="0">
        <f>IF(AND(BA$9&gt;=$E22,BA$9&lt;=$F22),"■","")</f>
      </c>
      <c r="BB22" s="0">
        <f>IF(AND(BB$9&gt;=$E22,BB$9&lt;=$F22),"■","")</f>
      </c>
      <c r="BC22" s="0">
        <f>IF(AND(BC$9&gt;=$E22,BC$9&lt;=$F22),"■","")</f>
      </c>
      <c r="BD22" s="0">
        <f>IF(AND(BD$9&gt;=$E22,BD$9&lt;=$F22),"■","")</f>
      </c>
      <c r="BE22" s="0">
        <f>IF(AND(BE$9&gt;=$E22,BE$9&lt;=$F22),"■","")</f>
      </c>
      <c r="BF22" s="0">
        <f>IF(AND(BF$9&gt;=$E22,BF$9&lt;=$F22),"■","")</f>
      </c>
      <c r="BG22" s="0">
        <f>IF(AND(BG$9&gt;=$E22,BG$9&lt;=$F22),"■","")</f>
      </c>
      <c r="BH22" s="0">
        <f>IF(AND(BH$9&gt;=$E22,BH$9&lt;=$F22),"■","")</f>
      </c>
      <c r="BI22" s="0">
        <f>IF(AND(BI$9&gt;=$E22,BI$9&lt;=$F22),"■","")</f>
      </c>
      <c r="BJ22" s="0">
        <f>IF(AND(BJ$9&gt;=$E22,BJ$9&lt;=$F22),"■","")</f>
      </c>
      <c r="BK22" s="0">
        <f>IF(AND(BK$9&gt;=$E22,BK$9&lt;=$F22),"■","")</f>
      </c>
      <c r="BL22" s="0">
        <f>IF(AND(BL$9&gt;=$E22,BL$9&lt;=$F22),"■","")</f>
      </c>
      <c r="BM22" s="0">
        <f>IF(AND(BM$9&gt;=$E22,BM$9&lt;=$F22),"■","")</f>
      </c>
      <c r="BN22" s="0">
        <f>IF(AND(BN$9&gt;=$E22,BN$9&lt;=$F22),"■","")</f>
      </c>
      <c r="BO22" s="0">
        <f>IF(AND(BO$9&gt;=$E22,BO$9&lt;=$F22),"■","")</f>
      </c>
      <c r="BP22" s="0">
        <f>IF(AND(BP$9&gt;=$E22,BP$9&lt;=$F22),"■","")</f>
      </c>
      <c r="BQ22" s="0">
        <f>IF(AND(BQ$9&gt;=$E22,BQ$9&lt;=$F22),"■","")</f>
      </c>
      <c r="BR22" s="0">
        <f>IF(AND(BR$9&gt;=$E22,BR$9&lt;=$F22),"■","")</f>
      </c>
      <c r="BS22" s="0">
        <f>IF(AND(BS$9&gt;=$E22,BS$9&lt;=$F22),"■","")</f>
      </c>
      <c r="BT22" s="0">
        <f>IF(AND(BT$9&gt;=$E22,BT$9&lt;=$F22),"■","")</f>
      </c>
      <c r="BU22" s="0">
        <f>IF(AND(BU$9&gt;=$E22,BU$9&lt;=$F22),"■","")</f>
      </c>
      <c r="BV22" s="0">
        <f>IF(AND(BV$9&gt;=$E22,BV$9&lt;=$F22),"■","")</f>
      </c>
      <c r="BW22" s="0">
        <f>IF(AND(BW$9&gt;=$E22,BW$9&lt;=$F22),"■","")</f>
      </c>
    </row>
    <row r="23">
      <c r="A23" s="0" t="inlineStr">
        <is>
          <t>P001-013</t>
        </is>
      </c>
      <c r="B23" s="0" t="inlineStr">
        <is>
          <t/>
        </is>
      </c>
      <c r="C23" s="0" t="inlineStr">
        <is>
          <t/>
        </is>
      </c>
      <c r="D23" s="0" t="inlineStr">
        <is>
          <t/>
        </is>
      </c>
      <c r="E23" s="0" t="inlineStr">
        <is>
          <t/>
        </is>
      </c>
      <c r="F23" s="0" t="inlineStr">
        <is>
          <t/>
        </is>
      </c>
      <c r="G23" s="0" t="inlineStr">
        <is>
          <t/>
        </is>
      </c>
      <c r="H23" s="0" t="inlineStr">
        <is>
          <t/>
        </is>
      </c>
      <c r="I23" s="0" t="inlineStr">
        <is>
          <t/>
        </is>
      </c>
      <c r="J23" s="0">
        <f>SUMIFS('Suivi Temps'!$D:$D,'Suivi Temps'!$A:$A,"P001-013")</f>
      </c>
      <c r="K23" s="0" t="inlineStr">
        <is>
          <t/>
        </is>
      </c>
      <c r="L23" s="0" t="inlineStr">
        <is>
          <t/>
        </is>
      </c>
      <c r="M23" s="0" t="inlineStr">
        <is>
          <t/>
        </is>
      </c>
      <c r="N23" s="0" t="inlineStr">
        <is>
          <t/>
        </is>
      </c>
      <c r="O23" s="0" t="inlineStr">
        <is>
          <t/>
        </is>
      </c>
      <c r="P23" s="0">
        <f>IF(AND(P$9&gt;=$E23,P$9&lt;=$F23),"■","")</f>
      </c>
      <c r="Q23" s="0">
        <f>IF(AND(Q$9&gt;=$E23,Q$9&lt;=$F23),"■","")</f>
      </c>
      <c r="R23" s="0">
        <f>IF(AND(R$9&gt;=$E23,R$9&lt;=$F23),"■","")</f>
      </c>
      <c r="S23" s="0">
        <f>IF(AND(S$9&gt;=$E23,S$9&lt;=$F23),"■","")</f>
      </c>
      <c r="T23" s="0">
        <f>IF(AND(T$9&gt;=$E23,T$9&lt;=$F23),"■","")</f>
      </c>
      <c r="U23" s="0">
        <f>IF(AND(U$9&gt;=$E23,U$9&lt;=$F23),"■","")</f>
      </c>
      <c r="V23" s="0">
        <f>IF(AND(V$9&gt;=$E23,V$9&lt;=$F23),"■","")</f>
      </c>
      <c r="W23" s="0">
        <f>IF(AND(W$9&gt;=$E23,W$9&lt;=$F23),"■","")</f>
      </c>
      <c r="X23" s="0">
        <f>IF(AND(X$9&gt;=$E23,X$9&lt;=$F23),"■","")</f>
      </c>
      <c r="Y23" s="0">
        <f>IF(AND(Y$9&gt;=$E23,Y$9&lt;=$F23),"■","")</f>
      </c>
      <c r="Z23" s="0">
        <f>IF(AND(Z$9&gt;=$E23,Z$9&lt;=$F23),"■","")</f>
      </c>
      <c r="AA23" s="0">
        <f>IF(AND(AA$9&gt;=$E23,AA$9&lt;=$F23),"■","")</f>
      </c>
      <c r="AB23" s="0">
        <f>IF(AND(AB$9&gt;=$E23,AB$9&lt;=$F23),"■","")</f>
      </c>
      <c r="AC23" s="0">
        <f>IF(AND(AC$9&gt;=$E23,AC$9&lt;=$F23),"■","")</f>
      </c>
      <c r="AD23" s="0">
        <f>IF(AND(AD$9&gt;=$E23,AD$9&lt;=$F23),"■","")</f>
      </c>
      <c r="AE23" s="0">
        <f>IF(AND(AE$9&gt;=$E23,AE$9&lt;=$F23),"■","")</f>
      </c>
      <c r="AF23" s="0">
        <f>IF(AND(AF$9&gt;=$E23,AF$9&lt;=$F23),"■","")</f>
      </c>
      <c r="AG23" s="0">
        <f>IF(AND(AG$9&gt;=$E23,AG$9&lt;=$F23),"■","")</f>
      </c>
      <c r="AH23" s="0">
        <f>IF(AND(AH$9&gt;=$E23,AH$9&lt;=$F23),"■","")</f>
      </c>
      <c r="AI23" s="0">
        <f>IF(AND(AI$9&gt;=$E23,AI$9&lt;=$F23),"■","")</f>
      </c>
      <c r="AJ23" s="0">
        <f>IF(AND(AJ$9&gt;=$E23,AJ$9&lt;=$F23),"■","")</f>
      </c>
      <c r="AK23" s="0">
        <f>IF(AND(AK$9&gt;=$E23,AK$9&lt;=$F23),"■","")</f>
      </c>
      <c r="AL23" s="0">
        <f>IF(AND(AL$9&gt;=$E23,AL$9&lt;=$F23),"■","")</f>
      </c>
      <c r="AM23" s="0">
        <f>IF(AND(AM$9&gt;=$E23,AM$9&lt;=$F23),"■","")</f>
      </c>
      <c r="AN23" s="0">
        <f>IF(AND(AN$9&gt;=$E23,AN$9&lt;=$F23),"■","")</f>
      </c>
      <c r="AO23" s="0">
        <f>IF(AND(AO$9&gt;=$E23,AO$9&lt;=$F23),"■","")</f>
      </c>
      <c r="AP23" s="0">
        <f>IF(AND(AP$9&gt;=$E23,AP$9&lt;=$F23),"■","")</f>
      </c>
      <c r="AQ23" s="0">
        <f>IF(AND(AQ$9&gt;=$E23,AQ$9&lt;=$F23),"■","")</f>
      </c>
      <c r="AR23" s="0">
        <f>IF(AND(AR$9&gt;=$E23,AR$9&lt;=$F23),"■","")</f>
      </c>
      <c r="AS23" s="0">
        <f>IF(AND(AS$9&gt;=$E23,AS$9&lt;=$F23),"■","")</f>
      </c>
      <c r="AT23" s="0">
        <f>IF(AND(AT$9&gt;=$E23,AT$9&lt;=$F23),"■","")</f>
      </c>
      <c r="AU23" s="0">
        <f>IF(AND(AU$9&gt;=$E23,AU$9&lt;=$F23),"■","")</f>
      </c>
      <c r="AV23" s="0">
        <f>IF(AND(AV$9&gt;=$E23,AV$9&lt;=$F23),"■","")</f>
      </c>
      <c r="AW23" s="0">
        <f>IF(AND(AW$9&gt;=$E23,AW$9&lt;=$F23),"■","")</f>
      </c>
      <c r="AX23" s="0">
        <f>IF(AND(AX$9&gt;=$E23,AX$9&lt;=$F23),"■","")</f>
      </c>
      <c r="AY23" s="0">
        <f>IF(AND(AY$9&gt;=$E23,AY$9&lt;=$F23),"■","")</f>
      </c>
      <c r="AZ23" s="0">
        <f>IF(AND(AZ$9&gt;=$E23,AZ$9&lt;=$F23),"■","")</f>
      </c>
      <c r="BA23" s="0">
        <f>IF(AND(BA$9&gt;=$E23,BA$9&lt;=$F23),"■","")</f>
      </c>
      <c r="BB23" s="0">
        <f>IF(AND(BB$9&gt;=$E23,BB$9&lt;=$F23),"■","")</f>
      </c>
      <c r="BC23" s="0">
        <f>IF(AND(BC$9&gt;=$E23,BC$9&lt;=$F23),"■","")</f>
      </c>
      <c r="BD23" s="0">
        <f>IF(AND(BD$9&gt;=$E23,BD$9&lt;=$F23),"■","")</f>
      </c>
      <c r="BE23" s="0">
        <f>IF(AND(BE$9&gt;=$E23,BE$9&lt;=$F23),"■","")</f>
      </c>
      <c r="BF23" s="0">
        <f>IF(AND(BF$9&gt;=$E23,BF$9&lt;=$F23),"■","")</f>
      </c>
      <c r="BG23" s="0">
        <f>IF(AND(BG$9&gt;=$E23,BG$9&lt;=$F23),"■","")</f>
      </c>
      <c r="BH23" s="0">
        <f>IF(AND(BH$9&gt;=$E23,BH$9&lt;=$F23),"■","")</f>
      </c>
      <c r="BI23" s="0">
        <f>IF(AND(BI$9&gt;=$E23,BI$9&lt;=$F23),"■","")</f>
      </c>
      <c r="BJ23" s="0">
        <f>IF(AND(BJ$9&gt;=$E23,BJ$9&lt;=$F23),"■","")</f>
      </c>
      <c r="BK23" s="0">
        <f>IF(AND(BK$9&gt;=$E23,BK$9&lt;=$F23),"■","")</f>
      </c>
      <c r="BL23" s="0">
        <f>IF(AND(BL$9&gt;=$E23,BL$9&lt;=$F23),"■","")</f>
      </c>
      <c r="BM23" s="0">
        <f>IF(AND(BM$9&gt;=$E23,BM$9&lt;=$F23),"■","")</f>
      </c>
      <c r="BN23" s="0">
        <f>IF(AND(BN$9&gt;=$E23,BN$9&lt;=$F23),"■","")</f>
      </c>
      <c r="BO23" s="0">
        <f>IF(AND(BO$9&gt;=$E23,BO$9&lt;=$F23),"■","")</f>
      </c>
      <c r="BP23" s="0">
        <f>IF(AND(BP$9&gt;=$E23,BP$9&lt;=$F23),"■","")</f>
      </c>
      <c r="BQ23" s="0">
        <f>IF(AND(BQ$9&gt;=$E23,BQ$9&lt;=$F23),"■","")</f>
      </c>
      <c r="BR23" s="0">
        <f>IF(AND(BR$9&gt;=$E23,BR$9&lt;=$F23),"■","")</f>
      </c>
      <c r="BS23" s="0">
        <f>IF(AND(BS$9&gt;=$E23,BS$9&lt;=$F23),"■","")</f>
      </c>
      <c r="BT23" s="0">
        <f>IF(AND(BT$9&gt;=$E23,BT$9&lt;=$F23),"■","")</f>
      </c>
      <c r="BU23" s="0">
        <f>IF(AND(BU$9&gt;=$E23,BU$9&lt;=$F23),"■","")</f>
      </c>
      <c r="BV23" s="0">
        <f>IF(AND(BV$9&gt;=$E23,BV$9&lt;=$F23),"■","")</f>
      </c>
      <c r="BW23" s="0">
        <f>IF(AND(BW$9&gt;=$E23,BW$9&lt;=$F23),"■","")</f>
      </c>
    </row>
    <row r="24">
      <c r="A24" s="0" t="inlineStr">
        <is>
          <t>P001-014</t>
        </is>
      </c>
      <c r="B24" s="0" t="inlineStr">
        <is>
          <t/>
        </is>
      </c>
      <c r="C24" s="0" t="inlineStr">
        <is>
          <t/>
        </is>
      </c>
      <c r="D24" s="0" t="inlineStr">
        <is>
          <t/>
        </is>
      </c>
      <c r="E24" s="0" t="inlineStr">
        <is>
          <t/>
        </is>
      </c>
      <c r="F24" s="0" t="inlineStr">
        <is>
          <t/>
        </is>
      </c>
      <c r="G24" s="0" t="inlineStr">
        <is>
          <t/>
        </is>
      </c>
      <c r="H24" s="0" t="inlineStr">
        <is>
          <t/>
        </is>
      </c>
      <c r="I24" s="0" t="inlineStr">
        <is>
          <t/>
        </is>
      </c>
      <c r="J24" s="0">
        <f>SUMIFS('Suivi Temps'!$D:$D,'Suivi Temps'!$A:$A,"P001-014")</f>
      </c>
      <c r="K24" s="0" t="inlineStr">
        <is>
          <t/>
        </is>
      </c>
      <c r="L24" s="0" t="inlineStr">
        <is>
          <t/>
        </is>
      </c>
      <c r="M24" s="0" t="inlineStr">
        <is>
          <t/>
        </is>
      </c>
      <c r="N24" s="0" t="inlineStr">
        <is>
          <t/>
        </is>
      </c>
      <c r="O24" s="0" t="inlineStr">
        <is>
          <t/>
        </is>
      </c>
      <c r="P24" s="0">
        <f>IF(AND(P$9&gt;=$E24,P$9&lt;=$F24),"■","")</f>
      </c>
      <c r="Q24" s="0">
        <f>IF(AND(Q$9&gt;=$E24,Q$9&lt;=$F24),"■","")</f>
      </c>
      <c r="R24" s="0">
        <f>IF(AND(R$9&gt;=$E24,R$9&lt;=$F24),"■","")</f>
      </c>
      <c r="S24" s="0">
        <f>IF(AND(S$9&gt;=$E24,S$9&lt;=$F24),"■","")</f>
      </c>
      <c r="T24" s="0">
        <f>IF(AND(T$9&gt;=$E24,T$9&lt;=$F24),"■","")</f>
      </c>
      <c r="U24" s="0">
        <f>IF(AND(U$9&gt;=$E24,U$9&lt;=$F24),"■","")</f>
      </c>
      <c r="V24" s="0">
        <f>IF(AND(V$9&gt;=$E24,V$9&lt;=$F24),"■","")</f>
      </c>
      <c r="W24" s="0">
        <f>IF(AND(W$9&gt;=$E24,W$9&lt;=$F24),"■","")</f>
      </c>
      <c r="X24" s="0">
        <f>IF(AND(X$9&gt;=$E24,X$9&lt;=$F24),"■","")</f>
      </c>
      <c r="Y24" s="0">
        <f>IF(AND(Y$9&gt;=$E24,Y$9&lt;=$F24),"■","")</f>
      </c>
      <c r="Z24" s="0">
        <f>IF(AND(Z$9&gt;=$E24,Z$9&lt;=$F24),"■","")</f>
      </c>
      <c r="AA24" s="0">
        <f>IF(AND(AA$9&gt;=$E24,AA$9&lt;=$F24),"■","")</f>
      </c>
      <c r="AB24" s="0">
        <f>IF(AND(AB$9&gt;=$E24,AB$9&lt;=$F24),"■","")</f>
      </c>
      <c r="AC24" s="0">
        <f>IF(AND(AC$9&gt;=$E24,AC$9&lt;=$F24),"■","")</f>
      </c>
      <c r="AD24" s="0">
        <f>IF(AND(AD$9&gt;=$E24,AD$9&lt;=$F24),"■","")</f>
      </c>
      <c r="AE24" s="0">
        <f>IF(AND(AE$9&gt;=$E24,AE$9&lt;=$F24),"■","")</f>
      </c>
      <c r="AF24" s="0">
        <f>IF(AND(AF$9&gt;=$E24,AF$9&lt;=$F24),"■","")</f>
      </c>
      <c r="AG24" s="0">
        <f>IF(AND(AG$9&gt;=$E24,AG$9&lt;=$F24),"■","")</f>
      </c>
      <c r="AH24" s="0">
        <f>IF(AND(AH$9&gt;=$E24,AH$9&lt;=$F24),"■","")</f>
      </c>
      <c r="AI24" s="0">
        <f>IF(AND(AI$9&gt;=$E24,AI$9&lt;=$F24),"■","")</f>
      </c>
      <c r="AJ24" s="0">
        <f>IF(AND(AJ$9&gt;=$E24,AJ$9&lt;=$F24),"■","")</f>
      </c>
      <c r="AK24" s="0">
        <f>IF(AND(AK$9&gt;=$E24,AK$9&lt;=$F24),"■","")</f>
      </c>
      <c r="AL24" s="0">
        <f>IF(AND(AL$9&gt;=$E24,AL$9&lt;=$F24),"■","")</f>
      </c>
      <c r="AM24" s="0">
        <f>IF(AND(AM$9&gt;=$E24,AM$9&lt;=$F24),"■","")</f>
      </c>
      <c r="AN24" s="0">
        <f>IF(AND(AN$9&gt;=$E24,AN$9&lt;=$F24),"■","")</f>
      </c>
      <c r="AO24" s="0">
        <f>IF(AND(AO$9&gt;=$E24,AO$9&lt;=$F24),"■","")</f>
      </c>
      <c r="AP24" s="0">
        <f>IF(AND(AP$9&gt;=$E24,AP$9&lt;=$F24),"■","")</f>
      </c>
      <c r="AQ24" s="0">
        <f>IF(AND(AQ$9&gt;=$E24,AQ$9&lt;=$F24),"■","")</f>
      </c>
      <c r="AR24" s="0">
        <f>IF(AND(AR$9&gt;=$E24,AR$9&lt;=$F24),"■","")</f>
      </c>
      <c r="AS24" s="0">
        <f>IF(AND(AS$9&gt;=$E24,AS$9&lt;=$F24),"■","")</f>
      </c>
      <c r="AT24" s="0">
        <f>IF(AND(AT$9&gt;=$E24,AT$9&lt;=$F24),"■","")</f>
      </c>
      <c r="AU24" s="0">
        <f>IF(AND(AU$9&gt;=$E24,AU$9&lt;=$F24),"■","")</f>
      </c>
      <c r="AV24" s="0">
        <f>IF(AND(AV$9&gt;=$E24,AV$9&lt;=$F24),"■","")</f>
      </c>
      <c r="AW24" s="0">
        <f>IF(AND(AW$9&gt;=$E24,AW$9&lt;=$F24),"■","")</f>
      </c>
      <c r="AX24" s="0">
        <f>IF(AND(AX$9&gt;=$E24,AX$9&lt;=$F24),"■","")</f>
      </c>
      <c r="AY24" s="0">
        <f>IF(AND(AY$9&gt;=$E24,AY$9&lt;=$F24),"■","")</f>
      </c>
      <c r="AZ24" s="0">
        <f>IF(AND(AZ$9&gt;=$E24,AZ$9&lt;=$F24),"■","")</f>
      </c>
      <c r="BA24" s="0">
        <f>IF(AND(BA$9&gt;=$E24,BA$9&lt;=$F24),"■","")</f>
      </c>
      <c r="BB24" s="0">
        <f>IF(AND(BB$9&gt;=$E24,BB$9&lt;=$F24),"■","")</f>
      </c>
      <c r="BC24" s="0">
        <f>IF(AND(BC$9&gt;=$E24,BC$9&lt;=$F24),"■","")</f>
      </c>
      <c r="BD24" s="0">
        <f>IF(AND(BD$9&gt;=$E24,BD$9&lt;=$F24),"■","")</f>
      </c>
      <c r="BE24" s="0">
        <f>IF(AND(BE$9&gt;=$E24,BE$9&lt;=$F24),"■","")</f>
      </c>
      <c r="BF24" s="0">
        <f>IF(AND(BF$9&gt;=$E24,BF$9&lt;=$F24),"■","")</f>
      </c>
      <c r="BG24" s="0">
        <f>IF(AND(BG$9&gt;=$E24,BG$9&lt;=$F24),"■","")</f>
      </c>
      <c r="BH24" s="0">
        <f>IF(AND(BH$9&gt;=$E24,BH$9&lt;=$F24),"■","")</f>
      </c>
      <c r="BI24" s="0">
        <f>IF(AND(BI$9&gt;=$E24,BI$9&lt;=$F24),"■","")</f>
      </c>
      <c r="BJ24" s="0">
        <f>IF(AND(BJ$9&gt;=$E24,BJ$9&lt;=$F24),"■","")</f>
      </c>
      <c r="BK24" s="0">
        <f>IF(AND(BK$9&gt;=$E24,BK$9&lt;=$F24),"■","")</f>
      </c>
      <c r="BL24" s="0">
        <f>IF(AND(BL$9&gt;=$E24,BL$9&lt;=$F24),"■","")</f>
      </c>
      <c r="BM24" s="0">
        <f>IF(AND(BM$9&gt;=$E24,BM$9&lt;=$F24),"■","")</f>
      </c>
      <c r="BN24" s="0">
        <f>IF(AND(BN$9&gt;=$E24,BN$9&lt;=$F24),"■","")</f>
      </c>
      <c r="BO24" s="0">
        <f>IF(AND(BO$9&gt;=$E24,BO$9&lt;=$F24),"■","")</f>
      </c>
      <c r="BP24" s="0">
        <f>IF(AND(BP$9&gt;=$E24,BP$9&lt;=$F24),"■","")</f>
      </c>
      <c r="BQ24" s="0">
        <f>IF(AND(BQ$9&gt;=$E24,BQ$9&lt;=$F24),"■","")</f>
      </c>
      <c r="BR24" s="0">
        <f>IF(AND(BR$9&gt;=$E24,BR$9&lt;=$F24),"■","")</f>
      </c>
      <c r="BS24" s="0">
        <f>IF(AND(BS$9&gt;=$E24,BS$9&lt;=$F24),"■","")</f>
      </c>
      <c r="BT24" s="0">
        <f>IF(AND(BT$9&gt;=$E24,BT$9&lt;=$F24),"■","")</f>
      </c>
      <c r="BU24" s="0">
        <f>IF(AND(BU$9&gt;=$E24,BU$9&lt;=$F24),"■","")</f>
      </c>
      <c r="BV24" s="0">
        <f>IF(AND(BV$9&gt;=$E24,BV$9&lt;=$F24),"■","")</f>
      </c>
      <c r="BW24" s="0">
        <f>IF(AND(BW$9&gt;=$E24,BW$9&lt;=$F24),"■","")</f>
      </c>
    </row>
    <row r="25">
      <c r="A25" s="0" t="inlineStr">
        <is>
          <t>P001-015</t>
        </is>
      </c>
      <c r="B25" s="0" t="inlineStr">
        <is>
          <t/>
        </is>
      </c>
      <c r="C25" s="0" t="inlineStr">
        <is>
          <t/>
        </is>
      </c>
      <c r="D25" s="0" t="inlineStr">
        <is>
          <t/>
        </is>
      </c>
      <c r="E25" s="0" t="inlineStr">
        <is>
          <t/>
        </is>
      </c>
      <c r="F25" s="0" t="inlineStr">
        <is>
          <t/>
        </is>
      </c>
      <c r="G25" s="0" t="inlineStr">
        <is>
          <t/>
        </is>
      </c>
      <c r="H25" s="0" t="inlineStr">
        <is>
          <t/>
        </is>
      </c>
      <c r="I25" s="0" t="inlineStr">
        <is>
          <t/>
        </is>
      </c>
      <c r="J25" s="0">
        <f>SUMIFS('Suivi Temps'!$D:$D,'Suivi Temps'!$A:$A,"P001-015")</f>
      </c>
      <c r="K25" s="0" t="inlineStr">
        <is>
          <t/>
        </is>
      </c>
      <c r="L25" s="0" t="inlineStr">
        <is>
          <t/>
        </is>
      </c>
      <c r="M25" s="0" t="inlineStr">
        <is>
          <t/>
        </is>
      </c>
      <c r="N25" s="0" t="inlineStr">
        <is>
          <t/>
        </is>
      </c>
      <c r="O25" s="0" t="inlineStr">
        <is>
          <t/>
        </is>
      </c>
      <c r="P25" s="0">
        <f>IF(AND(P$9&gt;=$E25,P$9&lt;=$F25),"■","")</f>
      </c>
      <c r="Q25" s="0">
        <f>IF(AND(Q$9&gt;=$E25,Q$9&lt;=$F25),"■","")</f>
      </c>
      <c r="R25" s="0">
        <f>IF(AND(R$9&gt;=$E25,R$9&lt;=$F25),"■","")</f>
      </c>
      <c r="S25" s="0">
        <f>IF(AND(S$9&gt;=$E25,S$9&lt;=$F25),"■","")</f>
      </c>
      <c r="T25" s="0">
        <f>IF(AND(T$9&gt;=$E25,T$9&lt;=$F25),"■","")</f>
      </c>
      <c r="U25" s="0">
        <f>IF(AND(U$9&gt;=$E25,U$9&lt;=$F25),"■","")</f>
      </c>
      <c r="V25" s="0">
        <f>IF(AND(V$9&gt;=$E25,V$9&lt;=$F25),"■","")</f>
      </c>
      <c r="W25" s="0">
        <f>IF(AND(W$9&gt;=$E25,W$9&lt;=$F25),"■","")</f>
      </c>
      <c r="X25" s="0">
        <f>IF(AND(X$9&gt;=$E25,X$9&lt;=$F25),"■","")</f>
      </c>
      <c r="Y25" s="0">
        <f>IF(AND(Y$9&gt;=$E25,Y$9&lt;=$F25),"■","")</f>
      </c>
      <c r="Z25" s="0">
        <f>IF(AND(Z$9&gt;=$E25,Z$9&lt;=$F25),"■","")</f>
      </c>
      <c r="AA25" s="0">
        <f>IF(AND(AA$9&gt;=$E25,AA$9&lt;=$F25),"■","")</f>
      </c>
      <c r="AB25" s="0">
        <f>IF(AND(AB$9&gt;=$E25,AB$9&lt;=$F25),"■","")</f>
      </c>
      <c r="AC25" s="0">
        <f>IF(AND(AC$9&gt;=$E25,AC$9&lt;=$F25),"■","")</f>
      </c>
      <c r="AD25" s="0">
        <f>IF(AND(AD$9&gt;=$E25,AD$9&lt;=$F25),"■","")</f>
      </c>
      <c r="AE25" s="0">
        <f>IF(AND(AE$9&gt;=$E25,AE$9&lt;=$F25),"■","")</f>
      </c>
      <c r="AF25" s="0">
        <f>IF(AND(AF$9&gt;=$E25,AF$9&lt;=$F25),"■","")</f>
      </c>
      <c r="AG25" s="0">
        <f>IF(AND(AG$9&gt;=$E25,AG$9&lt;=$F25),"■","")</f>
      </c>
      <c r="AH25" s="0">
        <f>IF(AND(AH$9&gt;=$E25,AH$9&lt;=$F25),"■","")</f>
      </c>
      <c r="AI25" s="0">
        <f>IF(AND(AI$9&gt;=$E25,AI$9&lt;=$F25),"■","")</f>
      </c>
      <c r="AJ25" s="0">
        <f>IF(AND(AJ$9&gt;=$E25,AJ$9&lt;=$F25),"■","")</f>
      </c>
      <c r="AK25" s="0">
        <f>IF(AND(AK$9&gt;=$E25,AK$9&lt;=$F25),"■","")</f>
      </c>
      <c r="AL25" s="0">
        <f>IF(AND(AL$9&gt;=$E25,AL$9&lt;=$F25),"■","")</f>
      </c>
      <c r="AM25" s="0">
        <f>IF(AND(AM$9&gt;=$E25,AM$9&lt;=$F25),"■","")</f>
      </c>
      <c r="AN25" s="0">
        <f>IF(AND(AN$9&gt;=$E25,AN$9&lt;=$F25),"■","")</f>
      </c>
      <c r="AO25" s="0">
        <f>IF(AND(AO$9&gt;=$E25,AO$9&lt;=$F25),"■","")</f>
      </c>
      <c r="AP25" s="0">
        <f>IF(AND(AP$9&gt;=$E25,AP$9&lt;=$F25),"■","")</f>
      </c>
      <c r="AQ25" s="0">
        <f>IF(AND(AQ$9&gt;=$E25,AQ$9&lt;=$F25),"■","")</f>
      </c>
      <c r="AR25" s="0">
        <f>IF(AND(AR$9&gt;=$E25,AR$9&lt;=$F25),"■","")</f>
      </c>
      <c r="AS25" s="0">
        <f>IF(AND(AS$9&gt;=$E25,AS$9&lt;=$F25),"■","")</f>
      </c>
      <c r="AT25" s="0">
        <f>IF(AND(AT$9&gt;=$E25,AT$9&lt;=$F25),"■","")</f>
      </c>
      <c r="AU25" s="0">
        <f>IF(AND(AU$9&gt;=$E25,AU$9&lt;=$F25),"■","")</f>
      </c>
      <c r="AV25" s="0">
        <f>IF(AND(AV$9&gt;=$E25,AV$9&lt;=$F25),"■","")</f>
      </c>
      <c r="AW25" s="0">
        <f>IF(AND(AW$9&gt;=$E25,AW$9&lt;=$F25),"■","")</f>
      </c>
      <c r="AX25" s="0">
        <f>IF(AND(AX$9&gt;=$E25,AX$9&lt;=$F25),"■","")</f>
      </c>
      <c r="AY25" s="0">
        <f>IF(AND(AY$9&gt;=$E25,AY$9&lt;=$F25),"■","")</f>
      </c>
      <c r="AZ25" s="0">
        <f>IF(AND(AZ$9&gt;=$E25,AZ$9&lt;=$F25),"■","")</f>
      </c>
      <c r="BA25" s="0">
        <f>IF(AND(BA$9&gt;=$E25,BA$9&lt;=$F25),"■","")</f>
      </c>
      <c r="BB25" s="0">
        <f>IF(AND(BB$9&gt;=$E25,BB$9&lt;=$F25),"■","")</f>
      </c>
      <c r="BC25" s="0">
        <f>IF(AND(BC$9&gt;=$E25,BC$9&lt;=$F25),"■","")</f>
      </c>
      <c r="BD25" s="0">
        <f>IF(AND(BD$9&gt;=$E25,BD$9&lt;=$F25),"■","")</f>
      </c>
      <c r="BE25" s="0">
        <f>IF(AND(BE$9&gt;=$E25,BE$9&lt;=$F25),"■","")</f>
      </c>
      <c r="BF25" s="0">
        <f>IF(AND(BF$9&gt;=$E25,BF$9&lt;=$F25),"■","")</f>
      </c>
      <c r="BG25" s="0">
        <f>IF(AND(BG$9&gt;=$E25,BG$9&lt;=$F25),"■","")</f>
      </c>
      <c r="BH25" s="0">
        <f>IF(AND(BH$9&gt;=$E25,BH$9&lt;=$F25),"■","")</f>
      </c>
      <c r="BI25" s="0">
        <f>IF(AND(BI$9&gt;=$E25,BI$9&lt;=$F25),"■","")</f>
      </c>
      <c r="BJ25" s="0">
        <f>IF(AND(BJ$9&gt;=$E25,BJ$9&lt;=$F25),"■","")</f>
      </c>
      <c r="BK25" s="0">
        <f>IF(AND(BK$9&gt;=$E25,BK$9&lt;=$F25),"■","")</f>
      </c>
      <c r="BL25" s="0">
        <f>IF(AND(BL$9&gt;=$E25,BL$9&lt;=$F25),"■","")</f>
      </c>
      <c r="BM25" s="0">
        <f>IF(AND(BM$9&gt;=$E25,BM$9&lt;=$F25),"■","")</f>
      </c>
      <c r="BN25" s="0">
        <f>IF(AND(BN$9&gt;=$E25,BN$9&lt;=$F25),"■","")</f>
      </c>
      <c r="BO25" s="0">
        <f>IF(AND(BO$9&gt;=$E25,BO$9&lt;=$F25),"■","")</f>
      </c>
      <c r="BP25" s="0">
        <f>IF(AND(BP$9&gt;=$E25,BP$9&lt;=$F25),"■","")</f>
      </c>
      <c r="BQ25" s="0">
        <f>IF(AND(BQ$9&gt;=$E25,BQ$9&lt;=$F25),"■","")</f>
      </c>
      <c r="BR25" s="0">
        <f>IF(AND(BR$9&gt;=$E25,BR$9&lt;=$F25),"■","")</f>
      </c>
      <c r="BS25" s="0">
        <f>IF(AND(BS$9&gt;=$E25,BS$9&lt;=$F25),"■","")</f>
      </c>
      <c r="BT25" s="0">
        <f>IF(AND(BT$9&gt;=$E25,BT$9&lt;=$F25),"■","")</f>
      </c>
      <c r="BU25" s="0">
        <f>IF(AND(BU$9&gt;=$E25,BU$9&lt;=$F25),"■","")</f>
      </c>
      <c r="BV25" s="0">
        <f>IF(AND(BV$9&gt;=$E25,BV$9&lt;=$F25),"■","")</f>
      </c>
      <c r="BW25" s="0">
        <f>IF(AND(BW$9&gt;=$E25,BW$9&lt;=$F25),"■","")</f>
      </c>
    </row>
    <row r="26">
      <c r="A26" s="0" t="inlineStr">
        <is>
          <t>P001-016</t>
        </is>
      </c>
      <c r="B26" s="0" t="inlineStr">
        <is>
          <t/>
        </is>
      </c>
      <c r="C26" s="0" t="inlineStr">
        <is>
          <t/>
        </is>
      </c>
      <c r="D26" s="0" t="inlineStr">
        <is>
          <t/>
        </is>
      </c>
      <c r="E26" s="0" t="inlineStr">
        <is>
          <t/>
        </is>
      </c>
      <c r="F26" s="0" t="inlineStr">
        <is>
          <t/>
        </is>
      </c>
      <c r="G26" s="0" t="inlineStr">
        <is>
          <t/>
        </is>
      </c>
      <c r="H26" s="0" t="inlineStr">
        <is>
          <t/>
        </is>
      </c>
      <c r="I26" s="0" t="inlineStr">
        <is>
          <t/>
        </is>
      </c>
      <c r="J26" s="0">
        <f>SUMIFS('Suivi Temps'!$D:$D,'Suivi Temps'!$A:$A,"P001-016")</f>
      </c>
      <c r="K26" s="0" t="inlineStr">
        <is>
          <t/>
        </is>
      </c>
      <c r="L26" s="0" t="inlineStr">
        <is>
          <t/>
        </is>
      </c>
      <c r="M26" s="0" t="inlineStr">
        <is>
          <t/>
        </is>
      </c>
      <c r="N26" s="0" t="inlineStr">
        <is>
          <t/>
        </is>
      </c>
      <c r="O26" s="0" t="inlineStr">
        <is>
          <t/>
        </is>
      </c>
      <c r="P26" s="0">
        <f>IF(AND(P$9&gt;=$E26,P$9&lt;=$F26),"■","")</f>
      </c>
      <c r="Q26" s="0">
        <f>IF(AND(Q$9&gt;=$E26,Q$9&lt;=$F26),"■","")</f>
      </c>
      <c r="R26" s="0">
        <f>IF(AND(R$9&gt;=$E26,R$9&lt;=$F26),"■","")</f>
      </c>
      <c r="S26" s="0">
        <f>IF(AND(S$9&gt;=$E26,S$9&lt;=$F26),"■","")</f>
      </c>
      <c r="T26" s="0">
        <f>IF(AND(T$9&gt;=$E26,T$9&lt;=$F26),"■","")</f>
      </c>
      <c r="U26" s="0">
        <f>IF(AND(U$9&gt;=$E26,U$9&lt;=$F26),"■","")</f>
      </c>
      <c r="V26" s="0">
        <f>IF(AND(V$9&gt;=$E26,V$9&lt;=$F26),"■","")</f>
      </c>
      <c r="W26" s="0">
        <f>IF(AND(W$9&gt;=$E26,W$9&lt;=$F26),"■","")</f>
      </c>
      <c r="X26" s="0">
        <f>IF(AND(X$9&gt;=$E26,X$9&lt;=$F26),"■","")</f>
      </c>
      <c r="Y26" s="0">
        <f>IF(AND(Y$9&gt;=$E26,Y$9&lt;=$F26),"■","")</f>
      </c>
      <c r="Z26" s="0">
        <f>IF(AND(Z$9&gt;=$E26,Z$9&lt;=$F26),"■","")</f>
      </c>
      <c r="AA26" s="0">
        <f>IF(AND(AA$9&gt;=$E26,AA$9&lt;=$F26),"■","")</f>
      </c>
      <c r="AB26" s="0">
        <f>IF(AND(AB$9&gt;=$E26,AB$9&lt;=$F26),"■","")</f>
      </c>
      <c r="AC26" s="0">
        <f>IF(AND(AC$9&gt;=$E26,AC$9&lt;=$F26),"■","")</f>
      </c>
      <c r="AD26" s="0">
        <f>IF(AND(AD$9&gt;=$E26,AD$9&lt;=$F26),"■","")</f>
      </c>
      <c r="AE26" s="0">
        <f>IF(AND(AE$9&gt;=$E26,AE$9&lt;=$F26),"■","")</f>
      </c>
      <c r="AF26" s="0">
        <f>IF(AND(AF$9&gt;=$E26,AF$9&lt;=$F26),"■","")</f>
      </c>
      <c r="AG26" s="0">
        <f>IF(AND(AG$9&gt;=$E26,AG$9&lt;=$F26),"■","")</f>
      </c>
      <c r="AH26" s="0">
        <f>IF(AND(AH$9&gt;=$E26,AH$9&lt;=$F26),"■","")</f>
      </c>
      <c r="AI26" s="0">
        <f>IF(AND(AI$9&gt;=$E26,AI$9&lt;=$F26),"■","")</f>
      </c>
      <c r="AJ26" s="0">
        <f>IF(AND(AJ$9&gt;=$E26,AJ$9&lt;=$F26),"■","")</f>
      </c>
      <c r="AK26" s="0">
        <f>IF(AND(AK$9&gt;=$E26,AK$9&lt;=$F26),"■","")</f>
      </c>
      <c r="AL26" s="0">
        <f>IF(AND(AL$9&gt;=$E26,AL$9&lt;=$F26),"■","")</f>
      </c>
      <c r="AM26" s="0">
        <f>IF(AND(AM$9&gt;=$E26,AM$9&lt;=$F26),"■","")</f>
      </c>
      <c r="AN26" s="0">
        <f>IF(AND(AN$9&gt;=$E26,AN$9&lt;=$F26),"■","")</f>
      </c>
      <c r="AO26" s="0">
        <f>IF(AND(AO$9&gt;=$E26,AO$9&lt;=$F26),"■","")</f>
      </c>
      <c r="AP26" s="0">
        <f>IF(AND(AP$9&gt;=$E26,AP$9&lt;=$F26),"■","")</f>
      </c>
      <c r="AQ26" s="0">
        <f>IF(AND(AQ$9&gt;=$E26,AQ$9&lt;=$F26),"■","")</f>
      </c>
      <c r="AR26" s="0">
        <f>IF(AND(AR$9&gt;=$E26,AR$9&lt;=$F26),"■","")</f>
      </c>
      <c r="AS26" s="0">
        <f>IF(AND(AS$9&gt;=$E26,AS$9&lt;=$F26),"■","")</f>
      </c>
      <c r="AT26" s="0">
        <f>IF(AND(AT$9&gt;=$E26,AT$9&lt;=$F26),"■","")</f>
      </c>
      <c r="AU26" s="0">
        <f>IF(AND(AU$9&gt;=$E26,AU$9&lt;=$F26),"■","")</f>
      </c>
      <c r="AV26" s="0">
        <f>IF(AND(AV$9&gt;=$E26,AV$9&lt;=$F26),"■","")</f>
      </c>
      <c r="AW26" s="0">
        <f>IF(AND(AW$9&gt;=$E26,AW$9&lt;=$F26),"■","")</f>
      </c>
      <c r="AX26" s="0">
        <f>IF(AND(AX$9&gt;=$E26,AX$9&lt;=$F26),"■","")</f>
      </c>
      <c r="AY26" s="0">
        <f>IF(AND(AY$9&gt;=$E26,AY$9&lt;=$F26),"■","")</f>
      </c>
      <c r="AZ26" s="0">
        <f>IF(AND(AZ$9&gt;=$E26,AZ$9&lt;=$F26),"■","")</f>
      </c>
      <c r="BA26" s="0">
        <f>IF(AND(BA$9&gt;=$E26,BA$9&lt;=$F26),"■","")</f>
      </c>
      <c r="BB26" s="0">
        <f>IF(AND(BB$9&gt;=$E26,BB$9&lt;=$F26),"■","")</f>
      </c>
      <c r="BC26" s="0">
        <f>IF(AND(BC$9&gt;=$E26,BC$9&lt;=$F26),"■","")</f>
      </c>
      <c r="BD26" s="0">
        <f>IF(AND(BD$9&gt;=$E26,BD$9&lt;=$F26),"■","")</f>
      </c>
      <c r="BE26" s="0">
        <f>IF(AND(BE$9&gt;=$E26,BE$9&lt;=$F26),"■","")</f>
      </c>
      <c r="BF26" s="0">
        <f>IF(AND(BF$9&gt;=$E26,BF$9&lt;=$F26),"■","")</f>
      </c>
      <c r="BG26" s="0">
        <f>IF(AND(BG$9&gt;=$E26,BG$9&lt;=$F26),"■","")</f>
      </c>
      <c r="BH26" s="0">
        <f>IF(AND(BH$9&gt;=$E26,BH$9&lt;=$F26),"■","")</f>
      </c>
      <c r="BI26" s="0">
        <f>IF(AND(BI$9&gt;=$E26,BI$9&lt;=$F26),"■","")</f>
      </c>
      <c r="BJ26" s="0">
        <f>IF(AND(BJ$9&gt;=$E26,BJ$9&lt;=$F26),"■","")</f>
      </c>
      <c r="BK26" s="0">
        <f>IF(AND(BK$9&gt;=$E26,BK$9&lt;=$F26),"■","")</f>
      </c>
      <c r="BL26" s="0">
        <f>IF(AND(BL$9&gt;=$E26,BL$9&lt;=$F26),"■","")</f>
      </c>
      <c r="BM26" s="0">
        <f>IF(AND(BM$9&gt;=$E26,BM$9&lt;=$F26),"■","")</f>
      </c>
      <c r="BN26" s="0">
        <f>IF(AND(BN$9&gt;=$E26,BN$9&lt;=$F26),"■","")</f>
      </c>
      <c r="BO26" s="0">
        <f>IF(AND(BO$9&gt;=$E26,BO$9&lt;=$F26),"■","")</f>
      </c>
      <c r="BP26" s="0">
        <f>IF(AND(BP$9&gt;=$E26,BP$9&lt;=$F26),"■","")</f>
      </c>
      <c r="BQ26" s="0">
        <f>IF(AND(BQ$9&gt;=$E26,BQ$9&lt;=$F26),"■","")</f>
      </c>
      <c r="BR26" s="0">
        <f>IF(AND(BR$9&gt;=$E26,BR$9&lt;=$F26),"■","")</f>
      </c>
      <c r="BS26" s="0">
        <f>IF(AND(BS$9&gt;=$E26,BS$9&lt;=$F26),"■","")</f>
      </c>
      <c r="BT26" s="0">
        <f>IF(AND(BT$9&gt;=$E26,BT$9&lt;=$F26),"■","")</f>
      </c>
      <c r="BU26" s="0">
        <f>IF(AND(BU$9&gt;=$E26,BU$9&lt;=$F26),"■","")</f>
      </c>
      <c r="BV26" s="0">
        <f>IF(AND(BV$9&gt;=$E26,BV$9&lt;=$F26),"■","")</f>
      </c>
      <c r="BW26" s="0">
        <f>IF(AND(BW$9&gt;=$E26,BW$9&lt;=$F26),"■","")</f>
      </c>
    </row>
    <row r="27">
      <c r="A27" s="0" t="inlineStr">
        <is>
          <t>P001-017</t>
        </is>
      </c>
      <c r="B27" s="0" t="inlineStr">
        <is>
          <t/>
        </is>
      </c>
      <c r="C27" s="0" t="inlineStr">
        <is>
          <t/>
        </is>
      </c>
      <c r="D27" s="0" t="inlineStr">
        <is>
          <t/>
        </is>
      </c>
      <c r="E27" s="0" t="inlineStr">
        <is>
          <t/>
        </is>
      </c>
      <c r="F27" s="0" t="inlineStr">
        <is>
          <t/>
        </is>
      </c>
      <c r="G27" s="0" t="inlineStr">
        <is>
          <t/>
        </is>
      </c>
      <c r="H27" s="0" t="inlineStr">
        <is>
          <t/>
        </is>
      </c>
      <c r="I27" s="0" t="inlineStr">
        <is>
          <t/>
        </is>
      </c>
      <c r="J27" s="0">
        <f>SUMIFS('Suivi Temps'!$D:$D,'Suivi Temps'!$A:$A,"P001-017")</f>
      </c>
      <c r="K27" s="0" t="inlineStr">
        <is>
          <t/>
        </is>
      </c>
      <c r="L27" s="0" t="inlineStr">
        <is>
          <t/>
        </is>
      </c>
      <c r="M27" s="0" t="inlineStr">
        <is>
          <t/>
        </is>
      </c>
      <c r="N27" s="0" t="inlineStr">
        <is>
          <t/>
        </is>
      </c>
      <c r="O27" s="0" t="inlineStr">
        <is>
          <t/>
        </is>
      </c>
      <c r="P27" s="0">
        <f>IF(AND(P$9&gt;=$E27,P$9&lt;=$F27),"■","")</f>
      </c>
      <c r="Q27" s="0">
        <f>IF(AND(Q$9&gt;=$E27,Q$9&lt;=$F27),"■","")</f>
      </c>
      <c r="R27" s="0">
        <f>IF(AND(R$9&gt;=$E27,R$9&lt;=$F27),"■","")</f>
      </c>
      <c r="S27" s="0">
        <f>IF(AND(S$9&gt;=$E27,S$9&lt;=$F27),"■","")</f>
      </c>
      <c r="T27" s="0">
        <f>IF(AND(T$9&gt;=$E27,T$9&lt;=$F27),"■","")</f>
      </c>
      <c r="U27" s="0">
        <f>IF(AND(U$9&gt;=$E27,U$9&lt;=$F27),"■","")</f>
      </c>
      <c r="V27" s="0">
        <f>IF(AND(V$9&gt;=$E27,V$9&lt;=$F27),"■","")</f>
      </c>
      <c r="W27" s="0">
        <f>IF(AND(W$9&gt;=$E27,W$9&lt;=$F27),"■","")</f>
      </c>
      <c r="X27" s="0">
        <f>IF(AND(X$9&gt;=$E27,X$9&lt;=$F27),"■","")</f>
      </c>
      <c r="Y27" s="0">
        <f>IF(AND(Y$9&gt;=$E27,Y$9&lt;=$F27),"■","")</f>
      </c>
      <c r="Z27" s="0">
        <f>IF(AND(Z$9&gt;=$E27,Z$9&lt;=$F27),"■","")</f>
      </c>
      <c r="AA27" s="0">
        <f>IF(AND(AA$9&gt;=$E27,AA$9&lt;=$F27),"■","")</f>
      </c>
      <c r="AB27" s="0">
        <f>IF(AND(AB$9&gt;=$E27,AB$9&lt;=$F27),"■","")</f>
      </c>
      <c r="AC27" s="0">
        <f>IF(AND(AC$9&gt;=$E27,AC$9&lt;=$F27),"■","")</f>
      </c>
      <c r="AD27" s="0">
        <f>IF(AND(AD$9&gt;=$E27,AD$9&lt;=$F27),"■","")</f>
      </c>
      <c r="AE27" s="0">
        <f>IF(AND(AE$9&gt;=$E27,AE$9&lt;=$F27),"■","")</f>
      </c>
      <c r="AF27" s="0">
        <f>IF(AND(AF$9&gt;=$E27,AF$9&lt;=$F27),"■","")</f>
      </c>
      <c r="AG27" s="0">
        <f>IF(AND(AG$9&gt;=$E27,AG$9&lt;=$F27),"■","")</f>
      </c>
      <c r="AH27" s="0">
        <f>IF(AND(AH$9&gt;=$E27,AH$9&lt;=$F27),"■","")</f>
      </c>
      <c r="AI27" s="0">
        <f>IF(AND(AI$9&gt;=$E27,AI$9&lt;=$F27),"■","")</f>
      </c>
      <c r="AJ27" s="0">
        <f>IF(AND(AJ$9&gt;=$E27,AJ$9&lt;=$F27),"■","")</f>
      </c>
      <c r="AK27" s="0">
        <f>IF(AND(AK$9&gt;=$E27,AK$9&lt;=$F27),"■","")</f>
      </c>
      <c r="AL27" s="0">
        <f>IF(AND(AL$9&gt;=$E27,AL$9&lt;=$F27),"■","")</f>
      </c>
      <c r="AM27" s="0">
        <f>IF(AND(AM$9&gt;=$E27,AM$9&lt;=$F27),"■","")</f>
      </c>
      <c r="AN27" s="0">
        <f>IF(AND(AN$9&gt;=$E27,AN$9&lt;=$F27),"■","")</f>
      </c>
      <c r="AO27" s="0">
        <f>IF(AND(AO$9&gt;=$E27,AO$9&lt;=$F27),"■","")</f>
      </c>
      <c r="AP27" s="0">
        <f>IF(AND(AP$9&gt;=$E27,AP$9&lt;=$F27),"■","")</f>
      </c>
      <c r="AQ27" s="0">
        <f>IF(AND(AQ$9&gt;=$E27,AQ$9&lt;=$F27),"■","")</f>
      </c>
      <c r="AR27" s="0">
        <f>IF(AND(AR$9&gt;=$E27,AR$9&lt;=$F27),"■","")</f>
      </c>
      <c r="AS27" s="0">
        <f>IF(AND(AS$9&gt;=$E27,AS$9&lt;=$F27),"■","")</f>
      </c>
      <c r="AT27" s="0">
        <f>IF(AND(AT$9&gt;=$E27,AT$9&lt;=$F27),"■","")</f>
      </c>
      <c r="AU27" s="0">
        <f>IF(AND(AU$9&gt;=$E27,AU$9&lt;=$F27),"■","")</f>
      </c>
      <c r="AV27" s="0">
        <f>IF(AND(AV$9&gt;=$E27,AV$9&lt;=$F27),"■","")</f>
      </c>
      <c r="AW27" s="0">
        <f>IF(AND(AW$9&gt;=$E27,AW$9&lt;=$F27),"■","")</f>
      </c>
      <c r="AX27" s="0">
        <f>IF(AND(AX$9&gt;=$E27,AX$9&lt;=$F27),"■","")</f>
      </c>
      <c r="AY27" s="0">
        <f>IF(AND(AY$9&gt;=$E27,AY$9&lt;=$F27),"■","")</f>
      </c>
      <c r="AZ27" s="0">
        <f>IF(AND(AZ$9&gt;=$E27,AZ$9&lt;=$F27),"■","")</f>
      </c>
      <c r="BA27" s="0">
        <f>IF(AND(BA$9&gt;=$E27,BA$9&lt;=$F27),"■","")</f>
      </c>
      <c r="BB27" s="0">
        <f>IF(AND(BB$9&gt;=$E27,BB$9&lt;=$F27),"■","")</f>
      </c>
      <c r="BC27" s="0">
        <f>IF(AND(BC$9&gt;=$E27,BC$9&lt;=$F27),"■","")</f>
      </c>
      <c r="BD27" s="0">
        <f>IF(AND(BD$9&gt;=$E27,BD$9&lt;=$F27),"■","")</f>
      </c>
      <c r="BE27" s="0">
        <f>IF(AND(BE$9&gt;=$E27,BE$9&lt;=$F27),"■","")</f>
      </c>
      <c r="BF27" s="0">
        <f>IF(AND(BF$9&gt;=$E27,BF$9&lt;=$F27),"■","")</f>
      </c>
      <c r="BG27" s="0">
        <f>IF(AND(BG$9&gt;=$E27,BG$9&lt;=$F27),"■","")</f>
      </c>
      <c r="BH27" s="0">
        <f>IF(AND(BH$9&gt;=$E27,BH$9&lt;=$F27),"■","")</f>
      </c>
      <c r="BI27" s="0">
        <f>IF(AND(BI$9&gt;=$E27,BI$9&lt;=$F27),"■","")</f>
      </c>
      <c r="BJ27" s="0">
        <f>IF(AND(BJ$9&gt;=$E27,BJ$9&lt;=$F27),"■","")</f>
      </c>
      <c r="BK27" s="0">
        <f>IF(AND(BK$9&gt;=$E27,BK$9&lt;=$F27),"■","")</f>
      </c>
      <c r="BL27" s="0">
        <f>IF(AND(BL$9&gt;=$E27,BL$9&lt;=$F27),"■","")</f>
      </c>
      <c r="BM27" s="0">
        <f>IF(AND(BM$9&gt;=$E27,BM$9&lt;=$F27),"■","")</f>
      </c>
      <c r="BN27" s="0">
        <f>IF(AND(BN$9&gt;=$E27,BN$9&lt;=$F27),"■","")</f>
      </c>
      <c r="BO27" s="0">
        <f>IF(AND(BO$9&gt;=$E27,BO$9&lt;=$F27),"■","")</f>
      </c>
      <c r="BP27" s="0">
        <f>IF(AND(BP$9&gt;=$E27,BP$9&lt;=$F27),"■","")</f>
      </c>
      <c r="BQ27" s="0">
        <f>IF(AND(BQ$9&gt;=$E27,BQ$9&lt;=$F27),"■","")</f>
      </c>
      <c r="BR27" s="0">
        <f>IF(AND(BR$9&gt;=$E27,BR$9&lt;=$F27),"■","")</f>
      </c>
      <c r="BS27" s="0">
        <f>IF(AND(BS$9&gt;=$E27,BS$9&lt;=$F27),"■","")</f>
      </c>
      <c r="BT27" s="0">
        <f>IF(AND(BT$9&gt;=$E27,BT$9&lt;=$F27),"■","")</f>
      </c>
      <c r="BU27" s="0">
        <f>IF(AND(BU$9&gt;=$E27,BU$9&lt;=$F27),"■","")</f>
      </c>
      <c r="BV27" s="0">
        <f>IF(AND(BV$9&gt;=$E27,BV$9&lt;=$F27),"■","")</f>
      </c>
      <c r="BW27" s="0">
        <f>IF(AND(BW$9&gt;=$E27,BW$9&lt;=$F27),"■","")</f>
      </c>
    </row>
    <row r="28">
      <c r="A28" s="0" t="inlineStr">
        <is>
          <t>P001-018</t>
        </is>
      </c>
      <c r="B28" s="0" t="inlineStr">
        <is>
          <t/>
        </is>
      </c>
      <c r="C28" s="0" t="inlineStr">
        <is>
          <t/>
        </is>
      </c>
      <c r="D28" s="0" t="inlineStr">
        <is>
          <t/>
        </is>
      </c>
      <c r="E28" s="0" t="inlineStr">
        <is>
          <t/>
        </is>
      </c>
      <c r="F28" s="0" t="inlineStr">
        <is>
          <t/>
        </is>
      </c>
      <c r="G28" s="0" t="inlineStr">
        <is>
          <t/>
        </is>
      </c>
      <c r="H28" s="0" t="inlineStr">
        <is>
          <t/>
        </is>
      </c>
      <c r="I28" s="0" t="inlineStr">
        <is>
          <t/>
        </is>
      </c>
      <c r="J28" s="0">
        <f>SUMIFS('Suivi Temps'!$D:$D,'Suivi Temps'!$A:$A,"P001-018")</f>
      </c>
      <c r="K28" s="0" t="inlineStr">
        <is>
          <t/>
        </is>
      </c>
      <c r="L28" s="0" t="inlineStr">
        <is>
          <t/>
        </is>
      </c>
      <c r="M28" s="0" t="inlineStr">
        <is>
          <t/>
        </is>
      </c>
      <c r="N28" s="0" t="inlineStr">
        <is>
          <t/>
        </is>
      </c>
      <c r="O28" s="0" t="inlineStr">
        <is>
          <t/>
        </is>
      </c>
      <c r="P28" s="0">
        <f>IF(AND(P$9&gt;=$E28,P$9&lt;=$F28),"■","")</f>
      </c>
      <c r="Q28" s="0">
        <f>IF(AND(Q$9&gt;=$E28,Q$9&lt;=$F28),"■","")</f>
      </c>
      <c r="R28" s="0">
        <f>IF(AND(R$9&gt;=$E28,R$9&lt;=$F28),"■","")</f>
      </c>
      <c r="S28" s="0">
        <f>IF(AND(S$9&gt;=$E28,S$9&lt;=$F28),"■","")</f>
      </c>
      <c r="T28" s="0">
        <f>IF(AND(T$9&gt;=$E28,T$9&lt;=$F28),"■","")</f>
      </c>
      <c r="U28" s="0">
        <f>IF(AND(U$9&gt;=$E28,U$9&lt;=$F28),"■","")</f>
      </c>
      <c r="V28" s="0">
        <f>IF(AND(V$9&gt;=$E28,V$9&lt;=$F28),"■","")</f>
      </c>
      <c r="W28" s="0">
        <f>IF(AND(W$9&gt;=$E28,W$9&lt;=$F28),"■","")</f>
      </c>
      <c r="X28" s="0">
        <f>IF(AND(X$9&gt;=$E28,X$9&lt;=$F28),"■","")</f>
      </c>
      <c r="Y28" s="0">
        <f>IF(AND(Y$9&gt;=$E28,Y$9&lt;=$F28),"■","")</f>
      </c>
      <c r="Z28" s="0">
        <f>IF(AND(Z$9&gt;=$E28,Z$9&lt;=$F28),"■","")</f>
      </c>
      <c r="AA28" s="0">
        <f>IF(AND(AA$9&gt;=$E28,AA$9&lt;=$F28),"■","")</f>
      </c>
      <c r="AB28" s="0">
        <f>IF(AND(AB$9&gt;=$E28,AB$9&lt;=$F28),"■","")</f>
      </c>
      <c r="AC28" s="0">
        <f>IF(AND(AC$9&gt;=$E28,AC$9&lt;=$F28),"■","")</f>
      </c>
      <c r="AD28" s="0">
        <f>IF(AND(AD$9&gt;=$E28,AD$9&lt;=$F28),"■","")</f>
      </c>
      <c r="AE28" s="0">
        <f>IF(AND(AE$9&gt;=$E28,AE$9&lt;=$F28),"■","")</f>
      </c>
      <c r="AF28" s="0">
        <f>IF(AND(AF$9&gt;=$E28,AF$9&lt;=$F28),"■","")</f>
      </c>
      <c r="AG28" s="0">
        <f>IF(AND(AG$9&gt;=$E28,AG$9&lt;=$F28),"■","")</f>
      </c>
      <c r="AH28" s="0">
        <f>IF(AND(AH$9&gt;=$E28,AH$9&lt;=$F28),"■","")</f>
      </c>
      <c r="AI28" s="0">
        <f>IF(AND(AI$9&gt;=$E28,AI$9&lt;=$F28),"■","")</f>
      </c>
      <c r="AJ28" s="0">
        <f>IF(AND(AJ$9&gt;=$E28,AJ$9&lt;=$F28),"■","")</f>
      </c>
      <c r="AK28" s="0">
        <f>IF(AND(AK$9&gt;=$E28,AK$9&lt;=$F28),"■","")</f>
      </c>
      <c r="AL28" s="0">
        <f>IF(AND(AL$9&gt;=$E28,AL$9&lt;=$F28),"■","")</f>
      </c>
      <c r="AM28" s="0">
        <f>IF(AND(AM$9&gt;=$E28,AM$9&lt;=$F28),"■","")</f>
      </c>
      <c r="AN28" s="0">
        <f>IF(AND(AN$9&gt;=$E28,AN$9&lt;=$F28),"■","")</f>
      </c>
      <c r="AO28" s="0">
        <f>IF(AND(AO$9&gt;=$E28,AO$9&lt;=$F28),"■","")</f>
      </c>
      <c r="AP28" s="0">
        <f>IF(AND(AP$9&gt;=$E28,AP$9&lt;=$F28),"■","")</f>
      </c>
      <c r="AQ28" s="0">
        <f>IF(AND(AQ$9&gt;=$E28,AQ$9&lt;=$F28),"■","")</f>
      </c>
      <c r="AR28" s="0">
        <f>IF(AND(AR$9&gt;=$E28,AR$9&lt;=$F28),"■","")</f>
      </c>
      <c r="AS28" s="0">
        <f>IF(AND(AS$9&gt;=$E28,AS$9&lt;=$F28),"■","")</f>
      </c>
      <c r="AT28" s="0">
        <f>IF(AND(AT$9&gt;=$E28,AT$9&lt;=$F28),"■","")</f>
      </c>
      <c r="AU28" s="0">
        <f>IF(AND(AU$9&gt;=$E28,AU$9&lt;=$F28),"■","")</f>
      </c>
      <c r="AV28" s="0">
        <f>IF(AND(AV$9&gt;=$E28,AV$9&lt;=$F28),"■","")</f>
      </c>
      <c r="AW28" s="0">
        <f>IF(AND(AW$9&gt;=$E28,AW$9&lt;=$F28),"■","")</f>
      </c>
      <c r="AX28" s="0">
        <f>IF(AND(AX$9&gt;=$E28,AX$9&lt;=$F28),"■","")</f>
      </c>
      <c r="AY28" s="0">
        <f>IF(AND(AY$9&gt;=$E28,AY$9&lt;=$F28),"■","")</f>
      </c>
      <c r="AZ28" s="0">
        <f>IF(AND(AZ$9&gt;=$E28,AZ$9&lt;=$F28),"■","")</f>
      </c>
      <c r="BA28" s="0">
        <f>IF(AND(BA$9&gt;=$E28,BA$9&lt;=$F28),"■","")</f>
      </c>
      <c r="BB28" s="0">
        <f>IF(AND(BB$9&gt;=$E28,BB$9&lt;=$F28),"■","")</f>
      </c>
      <c r="BC28" s="0">
        <f>IF(AND(BC$9&gt;=$E28,BC$9&lt;=$F28),"■","")</f>
      </c>
      <c r="BD28" s="0">
        <f>IF(AND(BD$9&gt;=$E28,BD$9&lt;=$F28),"■","")</f>
      </c>
      <c r="BE28" s="0">
        <f>IF(AND(BE$9&gt;=$E28,BE$9&lt;=$F28),"■","")</f>
      </c>
      <c r="BF28" s="0">
        <f>IF(AND(BF$9&gt;=$E28,BF$9&lt;=$F28),"■","")</f>
      </c>
      <c r="BG28" s="0">
        <f>IF(AND(BG$9&gt;=$E28,BG$9&lt;=$F28),"■","")</f>
      </c>
      <c r="BH28" s="0">
        <f>IF(AND(BH$9&gt;=$E28,BH$9&lt;=$F28),"■","")</f>
      </c>
      <c r="BI28" s="0">
        <f>IF(AND(BI$9&gt;=$E28,BI$9&lt;=$F28),"■","")</f>
      </c>
      <c r="BJ28" s="0">
        <f>IF(AND(BJ$9&gt;=$E28,BJ$9&lt;=$F28),"■","")</f>
      </c>
      <c r="BK28" s="0">
        <f>IF(AND(BK$9&gt;=$E28,BK$9&lt;=$F28),"■","")</f>
      </c>
      <c r="BL28" s="0">
        <f>IF(AND(BL$9&gt;=$E28,BL$9&lt;=$F28),"■","")</f>
      </c>
      <c r="BM28" s="0">
        <f>IF(AND(BM$9&gt;=$E28,BM$9&lt;=$F28),"■","")</f>
      </c>
      <c r="BN28" s="0">
        <f>IF(AND(BN$9&gt;=$E28,BN$9&lt;=$F28),"■","")</f>
      </c>
      <c r="BO28" s="0">
        <f>IF(AND(BO$9&gt;=$E28,BO$9&lt;=$F28),"■","")</f>
      </c>
      <c r="BP28" s="0">
        <f>IF(AND(BP$9&gt;=$E28,BP$9&lt;=$F28),"■","")</f>
      </c>
      <c r="BQ28" s="0">
        <f>IF(AND(BQ$9&gt;=$E28,BQ$9&lt;=$F28),"■","")</f>
      </c>
      <c r="BR28" s="0">
        <f>IF(AND(BR$9&gt;=$E28,BR$9&lt;=$F28),"■","")</f>
      </c>
      <c r="BS28" s="0">
        <f>IF(AND(BS$9&gt;=$E28,BS$9&lt;=$F28),"■","")</f>
      </c>
      <c r="BT28" s="0">
        <f>IF(AND(BT$9&gt;=$E28,BT$9&lt;=$F28),"■","")</f>
      </c>
      <c r="BU28" s="0">
        <f>IF(AND(BU$9&gt;=$E28,BU$9&lt;=$F28),"■","")</f>
      </c>
      <c r="BV28" s="0">
        <f>IF(AND(BV$9&gt;=$E28,BV$9&lt;=$F28),"■","")</f>
      </c>
      <c r="BW28" s="0">
        <f>IF(AND(BW$9&gt;=$E28,BW$9&lt;=$F28),"■","")</f>
      </c>
    </row>
    <row r="29">
      <c r="A29" s="0" t="inlineStr">
        <is>
          <t>P001-019</t>
        </is>
      </c>
      <c r="B29" s="0" t="inlineStr">
        <is>
          <t/>
        </is>
      </c>
      <c r="C29" s="0" t="inlineStr">
        <is>
          <t/>
        </is>
      </c>
      <c r="D29" s="0" t="inlineStr">
        <is>
          <t/>
        </is>
      </c>
      <c r="E29" s="0" t="inlineStr">
        <is>
          <t/>
        </is>
      </c>
      <c r="F29" s="0" t="inlineStr">
        <is>
          <t/>
        </is>
      </c>
      <c r="G29" s="0" t="inlineStr">
        <is>
          <t/>
        </is>
      </c>
      <c r="H29" s="0" t="inlineStr">
        <is>
          <t/>
        </is>
      </c>
      <c r="I29" s="0" t="inlineStr">
        <is>
          <t/>
        </is>
      </c>
      <c r="J29" s="0">
        <f>SUMIFS('Suivi Temps'!$D:$D,'Suivi Temps'!$A:$A,"P001-019")</f>
      </c>
      <c r="K29" s="0" t="inlineStr">
        <is>
          <t/>
        </is>
      </c>
      <c r="L29" s="0" t="inlineStr">
        <is>
          <t/>
        </is>
      </c>
      <c r="M29" s="0" t="inlineStr">
        <is>
          <t/>
        </is>
      </c>
      <c r="N29" s="0" t="inlineStr">
        <is>
          <t/>
        </is>
      </c>
      <c r="O29" s="0" t="inlineStr">
        <is>
          <t/>
        </is>
      </c>
      <c r="P29" s="0">
        <f>IF(AND(P$9&gt;=$E29,P$9&lt;=$F29),"■","")</f>
      </c>
      <c r="Q29" s="0">
        <f>IF(AND(Q$9&gt;=$E29,Q$9&lt;=$F29),"■","")</f>
      </c>
      <c r="R29" s="0">
        <f>IF(AND(R$9&gt;=$E29,R$9&lt;=$F29),"■","")</f>
      </c>
      <c r="S29" s="0">
        <f>IF(AND(S$9&gt;=$E29,S$9&lt;=$F29),"■","")</f>
      </c>
      <c r="T29" s="0">
        <f>IF(AND(T$9&gt;=$E29,T$9&lt;=$F29),"■","")</f>
      </c>
      <c r="U29" s="0">
        <f>IF(AND(U$9&gt;=$E29,U$9&lt;=$F29),"■","")</f>
      </c>
      <c r="V29" s="0">
        <f>IF(AND(V$9&gt;=$E29,V$9&lt;=$F29),"■","")</f>
      </c>
      <c r="W29" s="0">
        <f>IF(AND(W$9&gt;=$E29,W$9&lt;=$F29),"■","")</f>
      </c>
      <c r="X29" s="0">
        <f>IF(AND(X$9&gt;=$E29,X$9&lt;=$F29),"■","")</f>
      </c>
      <c r="Y29" s="0">
        <f>IF(AND(Y$9&gt;=$E29,Y$9&lt;=$F29),"■","")</f>
      </c>
      <c r="Z29" s="0">
        <f>IF(AND(Z$9&gt;=$E29,Z$9&lt;=$F29),"■","")</f>
      </c>
      <c r="AA29" s="0">
        <f>IF(AND(AA$9&gt;=$E29,AA$9&lt;=$F29),"■","")</f>
      </c>
      <c r="AB29" s="0">
        <f>IF(AND(AB$9&gt;=$E29,AB$9&lt;=$F29),"■","")</f>
      </c>
      <c r="AC29" s="0">
        <f>IF(AND(AC$9&gt;=$E29,AC$9&lt;=$F29),"■","")</f>
      </c>
      <c r="AD29" s="0">
        <f>IF(AND(AD$9&gt;=$E29,AD$9&lt;=$F29),"■","")</f>
      </c>
      <c r="AE29" s="0">
        <f>IF(AND(AE$9&gt;=$E29,AE$9&lt;=$F29),"■","")</f>
      </c>
      <c r="AF29" s="0">
        <f>IF(AND(AF$9&gt;=$E29,AF$9&lt;=$F29),"■","")</f>
      </c>
      <c r="AG29" s="0">
        <f>IF(AND(AG$9&gt;=$E29,AG$9&lt;=$F29),"■","")</f>
      </c>
      <c r="AH29" s="0">
        <f>IF(AND(AH$9&gt;=$E29,AH$9&lt;=$F29),"■","")</f>
      </c>
      <c r="AI29" s="0">
        <f>IF(AND(AI$9&gt;=$E29,AI$9&lt;=$F29),"■","")</f>
      </c>
      <c r="AJ29" s="0">
        <f>IF(AND(AJ$9&gt;=$E29,AJ$9&lt;=$F29),"■","")</f>
      </c>
      <c r="AK29" s="0">
        <f>IF(AND(AK$9&gt;=$E29,AK$9&lt;=$F29),"■","")</f>
      </c>
      <c r="AL29" s="0">
        <f>IF(AND(AL$9&gt;=$E29,AL$9&lt;=$F29),"■","")</f>
      </c>
      <c r="AM29" s="0">
        <f>IF(AND(AM$9&gt;=$E29,AM$9&lt;=$F29),"■","")</f>
      </c>
      <c r="AN29" s="0">
        <f>IF(AND(AN$9&gt;=$E29,AN$9&lt;=$F29),"■","")</f>
      </c>
      <c r="AO29" s="0">
        <f>IF(AND(AO$9&gt;=$E29,AO$9&lt;=$F29),"■","")</f>
      </c>
      <c r="AP29" s="0">
        <f>IF(AND(AP$9&gt;=$E29,AP$9&lt;=$F29),"■","")</f>
      </c>
      <c r="AQ29" s="0">
        <f>IF(AND(AQ$9&gt;=$E29,AQ$9&lt;=$F29),"■","")</f>
      </c>
      <c r="AR29" s="0">
        <f>IF(AND(AR$9&gt;=$E29,AR$9&lt;=$F29),"■","")</f>
      </c>
      <c r="AS29" s="0">
        <f>IF(AND(AS$9&gt;=$E29,AS$9&lt;=$F29),"■","")</f>
      </c>
      <c r="AT29" s="0">
        <f>IF(AND(AT$9&gt;=$E29,AT$9&lt;=$F29),"■","")</f>
      </c>
      <c r="AU29" s="0">
        <f>IF(AND(AU$9&gt;=$E29,AU$9&lt;=$F29),"■","")</f>
      </c>
      <c r="AV29" s="0">
        <f>IF(AND(AV$9&gt;=$E29,AV$9&lt;=$F29),"■","")</f>
      </c>
      <c r="AW29" s="0">
        <f>IF(AND(AW$9&gt;=$E29,AW$9&lt;=$F29),"■","")</f>
      </c>
      <c r="AX29" s="0">
        <f>IF(AND(AX$9&gt;=$E29,AX$9&lt;=$F29),"■","")</f>
      </c>
      <c r="AY29" s="0">
        <f>IF(AND(AY$9&gt;=$E29,AY$9&lt;=$F29),"■","")</f>
      </c>
      <c r="AZ29" s="0">
        <f>IF(AND(AZ$9&gt;=$E29,AZ$9&lt;=$F29),"■","")</f>
      </c>
      <c r="BA29" s="0">
        <f>IF(AND(BA$9&gt;=$E29,BA$9&lt;=$F29),"■","")</f>
      </c>
      <c r="BB29" s="0">
        <f>IF(AND(BB$9&gt;=$E29,BB$9&lt;=$F29),"■","")</f>
      </c>
      <c r="BC29" s="0">
        <f>IF(AND(BC$9&gt;=$E29,BC$9&lt;=$F29),"■","")</f>
      </c>
      <c r="BD29" s="0">
        <f>IF(AND(BD$9&gt;=$E29,BD$9&lt;=$F29),"■","")</f>
      </c>
      <c r="BE29" s="0">
        <f>IF(AND(BE$9&gt;=$E29,BE$9&lt;=$F29),"■","")</f>
      </c>
      <c r="BF29" s="0">
        <f>IF(AND(BF$9&gt;=$E29,BF$9&lt;=$F29),"■","")</f>
      </c>
      <c r="BG29" s="0">
        <f>IF(AND(BG$9&gt;=$E29,BG$9&lt;=$F29),"■","")</f>
      </c>
      <c r="BH29" s="0">
        <f>IF(AND(BH$9&gt;=$E29,BH$9&lt;=$F29),"■","")</f>
      </c>
      <c r="BI29" s="0">
        <f>IF(AND(BI$9&gt;=$E29,BI$9&lt;=$F29),"■","")</f>
      </c>
      <c r="BJ29" s="0">
        <f>IF(AND(BJ$9&gt;=$E29,BJ$9&lt;=$F29),"■","")</f>
      </c>
      <c r="BK29" s="0">
        <f>IF(AND(BK$9&gt;=$E29,BK$9&lt;=$F29),"■","")</f>
      </c>
      <c r="BL29" s="0">
        <f>IF(AND(BL$9&gt;=$E29,BL$9&lt;=$F29),"■","")</f>
      </c>
      <c r="BM29" s="0">
        <f>IF(AND(BM$9&gt;=$E29,BM$9&lt;=$F29),"■","")</f>
      </c>
      <c r="BN29" s="0">
        <f>IF(AND(BN$9&gt;=$E29,BN$9&lt;=$F29),"■","")</f>
      </c>
      <c r="BO29" s="0">
        <f>IF(AND(BO$9&gt;=$E29,BO$9&lt;=$F29),"■","")</f>
      </c>
      <c r="BP29" s="0">
        <f>IF(AND(BP$9&gt;=$E29,BP$9&lt;=$F29),"■","")</f>
      </c>
      <c r="BQ29" s="0">
        <f>IF(AND(BQ$9&gt;=$E29,BQ$9&lt;=$F29),"■","")</f>
      </c>
      <c r="BR29" s="0">
        <f>IF(AND(BR$9&gt;=$E29,BR$9&lt;=$F29),"■","")</f>
      </c>
      <c r="BS29" s="0">
        <f>IF(AND(BS$9&gt;=$E29,BS$9&lt;=$F29),"■","")</f>
      </c>
      <c r="BT29" s="0">
        <f>IF(AND(BT$9&gt;=$E29,BT$9&lt;=$F29),"■","")</f>
      </c>
      <c r="BU29" s="0">
        <f>IF(AND(BU$9&gt;=$E29,BU$9&lt;=$F29),"■","")</f>
      </c>
      <c r="BV29" s="0">
        <f>IF(AND(BV$9&gt;=$E29,BV$9&lt;=$F29),"■","")</f>
      </c>
      <c r="BW29" s="0">
        <f>IF(AND(BW$9&gt;=$E29,BW$9&lt;=$F29),"■","")</f>
      </c>
    </row>
    <row r="30">
      <c r="A30" s="0" t="inlineStr">
        <is>
          <t>P001-020</t>
        </is>
      </c>
      <c r="B30" s="0" t="inlineStr">
        <is>
          <t/>
        </is>
      </c>
      <c r="C30" s="0" t="inlineStr">
        <is>
          <t/>
        </is>
      </c>
      <c r="D30" s="0" t="inlineStr">
        <is>
          <t/>
        </is>
      </c>
      <c r="E30" s="0" t="inlineStr">
        <is>
          <t/>
        </is>
      </c>
      <c r="F30" s="0" t="inlineStr">
        <is>
          <t/>
        </is>
      </c>
      <c r="G30" s="0" t="inlineStr">
        <is>
          <t/>
        </is>
      </c>
      <c r="H30" s="0" t="inlineStr">
        <is>
          <t/>
        </is>
      </c>
      <c r="I30" s="0" t="inlineStr">
        <is>
          <t/>
        </is>
      </c>
      <c r="J30" s="0">
        <f>SUMIFS('Suivi Temps'!$D:$D,'Suivi Temps'!$A:$A,"P001-020")</f>
      </c>
      <c r="K30" s="0" t="inlineStr">
        <is>
          <t/>
        </is>
      </c>
      <c r="L30" s="0" t="inlineStr">
        <is>
          <t/>
        </is>
      </c>
      <c r="M30" s="0" t="inlineStr">
        <is>
          <t/>
        </is>
      </c>
      <c r="N30" s="0" t="inlineStr">
        <is>
          <t/>
        </is>
      </c>
      <c r="O30" s="0" t="inlineStr">
        <is>
          <t/>
        </is>
      </c>
      <c r="P30" s="0">
        <f>IF(AND(P$9&gt;=$E30,P$9&lt;=$F30),"■","")</f>
      </c>
      <c r="Q30" s="0">
        <f>IF(AND(Q$9&gt;=$E30,Q$9&lt;=$F30),"■","")</f>
      </c>
      <c r="R30" s="0">
        <f>IF(AND(R$9&gt;=$E30,R$9&lt;=$F30),"■","")</f>
      </c>
      <c r="S30" s="0">
        <f>IF(AND(S$9&gt;=$E30,S$9&lt;=$F30),"■","")</f>
      </c>
      <c r="T30" s="0">
        <f>IF(AND(T$9&gt;=$E30,T$9&lt;=$F30),"■","")</f>
      </c>
      <c r="U30" s="0">
        <f>IF(AND(U$9&gt;=$E30,U$9&lt;=$F30),"■","")</f>
      </c>
      <c r="V30" s="0">
        <f>IF(AND(V$9&gt;=$E30,V$9&lt;=$F30),"■","")</f>
      </c>
      <c r="W30" s="0">
        <f>IF(AND(W$9&gt;=$E30,W$9&lt;=$F30),"■","")</f>
      </c>
      <c r="X30" s="0">
        <f>IF(AND(X$9&gt;=$E30,X$9&lt;=$F30),"■","")</f>
      </c>
      <c r="Y30" s="0">
        <f>IF(AND(Y$9&gt;=$E30,Y$9&lt;=$F30),"■","")</f>
      </c>
      <c r="Z30" s="0">
        <f>IF(AND(Z$9&gt;=$E30,Z$9&lt;=$F30),"■","")</f>
      </c>
      <c r="AA30" s="0">
        <f>IF(AND(AA$9&gt;=$E30,AA$9&lt;=$F30),"■","")</f>
      </c>
      <c r="AB30" s="0">
        <f>IF(AND(AB$9&gt;=$E30,AB$9&lt;=$F30),"■","")</f>
      </c>
      <c r="AC30" s="0">
        <f>IF(AND(AC$9&gt;=$E30,AC$9&lt;=$F30),"■","")</f>
      </c>
      <c r="AD30" s="0">
        <f>IF(AND(AD$9&gt;=$E30,AD$9&lt;=$F30),"■","")</f>
      </c>
      <c r="AE30" s="0">
        <f>IF(AND(AE$9&gt;=$E30,AE$9&lt;=$F30),"■","")</f>
      </c>
      <c r="AF30" s="0">
        <f>IF(AND(AF$9&gt;=$E30,AF$9&lt;=$F30),"■","")</f>
      </c>
      <c r="AG30" s="0">
        <f>IF(AND(AG$9&gt;=$E30,AG$9&lt;=$F30),"■","")</f>
      </c>
      <c r="AH30" s="0">
        <f>IF(AND(AH$9&gt;=$E30,AH$9&lt;=$F30),"■","")</f>
      </c>
      <c r="AI30" s="0">
        <f>IF(AND(AI$9&gt;=$E30,AI$9&lt;=$F30),"■","")</f>
      </c>
      <c r="AJ30" s="0">
        <f>IF(AND(AJ$9&gt;=$E30,AJ$9&lt;=$F30),"■","")</f>
      </c>
      <c r="AK30" s="0">
        <f>IF(AND(AK$9&gt;=$E30,AK$9&lt;=$F30),"■","")</f>
      </c>
      <c r="AL30" s="0">
        <f>IF(AND(AL$9&gt;=$E30,AL$9&lt;=$F30),"■","")</f>
      </c>
      <c r="AM30" s="0">
        <f>IF(AND(AM$9&gt;=$E30,AM$9&lt;=$F30),"■","")</f>
      </c>
      <c r="AN30" s="0">
        <f>IF(AND(AN$9&gt;=$E30,AN$9&lt;=$F30),"■","")</f>
      </c>
      <c r="AO30" s="0">
        <f>IF(AND(AO$9&gt;=$E30,AO$9&lt;=$F30),"■","")</f>
      </c>
      <c r="AP30" s="0">
        <f>IF(AND(AP$9&gt;=$E30,AP$9&lt;=$F30),"■","")</f>
      </c>
      <c r="AQ30" s="0">
        <f>IF(AND(AQ$9&gt;=$E30,AQ$9&lt;=$F30),"■","")</f>
      </c>
      <c r="AR30" s="0">
        <f>IF(AND(AR$9&gt;=$E30,AR$9&lt;=$F30),"■","")</f>
      </c>
      <c r="AS30" s="0">
        <f>IF(AND(AS$9&gt;=$E30,AS$9&lt;=$F30),"■","")</f>
      </c>
      <c r="AT30" s="0">
        <f>IF(AND(AT$9&gt;=$E30,AT$9&lt;=$F30),"■","")</f>
      </c>
      <c r="AU30" s="0">
        <f>IF(AND(AU$9&gt;=$E30,AU$9&lt;=$F30),"■","")</f>
      </c>
      <c r="AV30" s="0">
        <f>IF(AND(AV$9&gt;=$E30,AV$9&lt;=$F30),"■","")</f>
      </c>
      <c r="AW30" s="0">
        <f>IF(AND(AW$9&gt;=$E30,AW$9&lt;=$F30),"■","")</f>
      </c>
      <c r="AX30" s="0">
        <f>IF(AND(AX$9&gt;=$E30,AX$9&lt;=$F30),"■","")</f>
      </c>
      <c r="AY30" s="0">
        <f>IF(AND(AY$9&gt;=$E30,AY$9&lt;=$F30),"■","")</f>
      </c>
      <c r="AZ30" s="0">
        <f>IF(AND(AZ$9&gt;=$E30,AZ$9&lt;=$F30),"■","")</f>
      </c>
      <c r="BA30" s="0">
        <f>IF(AND(BA$9&gt;=$E30,BA$9&lt;=$F30),"■","")</f>
      </c>
      <c r="BB30" s="0">
        <f>IF(AND(BB$9&gt;=$E30,BB$9&lt;=$F30),"■","")</f>
      </c>
      <c r="BC30" s="0">
        <f>IF(AND(BC$9&gt;=$E30,BC$9&lt;=$F30),"■","")</f>
      </c>
      <c r="BD30" s="0">
        <f>IF(AND(BD$9&gt;=$E30,BD$9&lt;=$F30),"■","")</f>
      </c>
      <c r="BE30" s="0">
        <f>IF(AND(BE$9&gt;=$E30,BE$9&lt;=$F30),"■","")</f>
      </c>
      <c r="BF30" s="0">
        <f>IF(AND(BF$9&gt;=$E30,BF$9&lt;=$F30),"■","")</f>
      </c>
      <c r="BG30" s="0">
        <f>IF(AND(BG$9&gt;=$E30,BG$9&lt;=$F30),"■","")</f>
      </c>
      <c r="BH30" s="0">
        <f>IF(AND(BH$9&gt;=$E30,BH$9&lt;=$F30),"■","")</f>
      </c>
      <c r="BI30" s="0">
        <f>IF(AND(BI$9&gt;=$E30,BI$9&lt;=$F30),"■","")</f>
      </c>
      <c r="BJ30" s="0">
        <f>IF(AND(BJ$9&gt;=$E30,BJ$9&lt;=$F30),"■","")</f>
      </c>
      <c r="BK30" s="0">
        <f>IF(AND(BK$9&gt;=$E30,BK$9&lt;=$F30),"■","")</f>
      </c>
      <c r="BL30" s="0">
        <f>IF(AND(BL$9&gt;=$E30,BL$9&lt;=$F30),"■","")</f>
      </c>
      <c r="BM30" s="0">
        <f>IF(AND(BM$9&gt;=$E30,BM$9&lt;=$F30),"■","")</f>
      </c>
      <c r="BN30" s="0">
        <f>IF(AND(BN$9&gt;=$E30,BN$9&lt;=$F30),"■","")</f>
      </c>
      <c r="BO30" s="0">
        <f>IF(AND(BO$9&gt;=$E30,BO$9&lt;=$F30),"■","")</f>
      </c>
      <c r="BP30" s="0">
        <f>IF(AND(BP$9&gt;=$E30,BP$9&lt;=$F30),"■","")</f>
      </c>
      <c r="BQ30" s="0">
        <f>IF(AND(BQ$9&gt;=$E30,BQ$9&lt;=$F30),"■","")</f>
      </c>
      <c r="BR30" s="0">
        <f>IF(AND(BR$9&gt;=$E30,BR$9&lt;=$F30),"■","")</f>
      </c>
      <c r="BS30" s="0">
        <f>IF(AND(BS$9&gt;=$E30,BS$9&lt;=$F30),"■","")</f>
      </c>
      <c r="BT30" s="0">
        <f>IF(AND(BT$9&gt;=$E30,BT$9&lt;=$F30),"■","")</f>
      </c>
      <c r="BU30" s="0">
        <f>IF(AND(BU$9&gt;=$E30,BU$9&lt;=$F30),"■","")</f>
      </c>
      <c r="BV30" s="0">
        <f>IF(AND(BV$9&gt;=$E30,BV$9&lt;=$F30),"■","")</f>
      </c>
      <c r="BW30" s="0">
        <f>IF(AND(BW$9&gt;=$E30,BW$9&lt;=$F30),"■","")</f>
      </c>
    </row>
    <row r="31">
      <c r="A31" s="0" t="inlineStr">
        <is>
          <t>P001-021</t>
        </is>
      </c>
      <c r="B31" s="0" t="inlineStr">
        <is>
          <t/>
        </is>
      </c>
      <c r="C31" s="0" t="inlineStr">
        <is>
          <t/>
        </is>
      </c>
      <c r="D31" s="0" t="inlineStr">
        <is>
          <t/>
        </is>
      </c>
      <c r="E31" s="0" t="inlineStr">
        <is>
          <t/>
        </is>
      </c>
      <c r="F31" s="0" t="inlineStr">
        <is>
          <t/>
        </is>
      </c>
      <c r="G31" s="0" t="inlineStr">
        <is>
          <t/>
        </is>
      </c>
      <c r="H31" s="0" t="inlineStr">
        <is>
          <t/>
        </is>
      </c>
      <c r="I31" s="0" t="inlineStr">
        <is>
          <t/>
        </is>
      </c>
      <c r="J31" s="0">
        <f>SUMIFS('Suivi Temps'!$D:$D,'Suivi Temps'!$A:$A,"P001-021")</f>
      </c>
      <c r="K31" s="0" t="inlineStr">
        <is>
          <t/>
        </is>
      </c>
      <c r="L31" s="0" t="inlineStr">
        <is>
          <t/>
        </is>
      </c>
      <c r="M31" s="0" t="inlineStr">
        <is>
          <t/>
        </is>
      </c>
      <c r="N31" s="0" t="inlineStr">
        <is>
          <t/>
        </is>
      </c>
      <c r="O31" s="0" t="inlineStr">
        <is>
          <t/>
        </is>
      </c>
      <c r="P31" s="0">
        <f>IF(AND(P$9&gt;=$E31,P$9&lt;=$F31),"■","")</f>
      </c>
      <c r="Q31" s="0">
        <f>IF(AND(Q$9&gt;=$E31,Q$9&lt;=$F31),"■","")</f>
      </c>
      <c r="R31" s="0">
        <f>IF(AND(R$9&gt;=$E31,R$9&lt;=$F31),"■","")</f>
      </c>
      <c r="S31" s="0">
        <f>IF(AND(S$9&gt;=$E31,S$9&lt;=$F31),"■","")</f>
      </c>
      <c r="T31" s="0">
        <f>IF(AND(T$9&gt;=$E31,T$9&lt;=$F31),"■","")</f>
      </c>
      <c r="U31" s="0">
        <f>IF(AND(U$9&gt;=$E31,U$9&lt;=$F31),"■","")</f>
      </c>
      <c r="V31" s="0">
        <f>IF(AND(V$9&gt;=$E31,V$9&lt;=$F31),"■","")</f>
      </c>
      <c r="W31" s="0">
        <f>IF(AND(W$9&gt;=$E31,W$9&lt;=$F31),"■","")</f>
      </c>
      <c r="X31" s="0">
        <f>IF(AND(X$9&gt;=$E31,X$9&lt;=$F31),"■","")</f>
      </c>
      <c r="Y31" s="0">
        <f>IF(AND(Y$9&gt;=$E31,Y$9&lt;=$F31),"■","")</f>
      </c>
      <c r="Z31" s="0">
        <f>IF(AND(Z$9&gt;=$E31,Z$9&lt;=$F31),"■","")</f>
      </c>
      <c r="AA31" s="0">
        <f>IF(AND(AA$9&gt;=$E31,AA$9&lt;=$F31),"■","")</f>
      </c>
      <c r="AB31" s="0">
        <f>IF(AND(AB$9&gt;=$E31,AB$9&lt;=$F31),"■","")</f>
      </c>
      <c r="AC31" s="0">
        <f>IF(AND(AC$9&gt;=$E31,AC$9&lt;=$F31),"■","")</f>
      </c>
      <c r="AD31" s="0">
        <f>IF(AND(AD$9&gt;=$E31,AD$9&lt;=$F31),"■","")</f>
      </c>
      <c r="AE31" s="0">
        <f>IF(AND(AE$9&gt;=$E31,AE$9&lt;=$F31),"■","")</f>
      </c>
      <c r="AF31" s="0">
        <f>IF(AND(AF$9&gt;=$E31,AF$9&lt;=$F31),"■","")</f>
      </c>
      <c r="AG31" s="0">
        <f>IF(AND(AG$9&gt;=$E31,AG$9&lt;=$F31),"■","")</f>
      </c>
      <c r="AH31" s="0">
        <f>IF(AND(AH$9&gt;=$E31,AH$9&lt;=$F31),"■","")</f>
      </c>
      <c r="AI31" s="0">
        <f>IF(AND(AI$9&gt;=$E31,AI$9&lt;=$F31),"■","")</f>
      </c>
      <c r="AJ31" s="0">
        <f>IF(AND(AJ$9&gt;=$E31,AJ$9&lt;=$F31),"■","")</f>
      </c>
      <c r="AK31" s="0">
        <f>IF(AND(AK$9&gt;=$E31,AK$9&lt;=$F31),"■","")</f>
      </c>
      <c r="AL31" s="0">
        <f>IF(AND(AL$9&gt;=$E31,AL$9&lt;=$F31),"■","")</f>
      </c>
      <c r="AM31" s="0">
        <f>IF(AND(AM$9&gt;=$E31,AM$9&lt;=$F31),"■","")</f>
      </c>
      <c r="AN31" s="0">
        <f>IF(AND(AN$9&gt;=$E31,AN$9&lt;=$F31),"■","")</f>
      </c>
      <c r="AO31" s="0">
        <f>IF(AND(AO$9&gt;=$E31,AO$9&lt;=$F31),"■","")</f>
      </c>
      <c r="AP31" s="0">
        <f>IF(AND(AP$9&gt;=$E31,AP$9&lt;=$F31),"■","")</f>
      </c>
      <c r="AQ31" s="0">
        <f>IF(AND(AQ$9&gt;=$E31,AQ$9&lt;=$F31),"■","")</f>
      </c>
      <c r="AR31" s="0">
        <f>IF(AND(AR$9&gt;=$E31,AR$9&lt;=$F31),"■","")</f>
      </c>
      <c r="AS31" s="0">
        <f>IF(AND(AS$9&gt;=$E31,AS$9&lt;=$F31),"■","")</f>
      </c>
      <c r="AT31" s="0">
        <f>IF(AND(AT$9&gt;=$E31,AT$9&lt;=$F31),"■","")</f>
      </c>
      <c r="AU31" s="0">
        <f>IF(AND(AU$9&gt;=$E31,AU$9&lt;=$F31),"■","")</f>
      </c>
      <c r="AV31" s="0">
        <f>IF(AND(AV$9&gt;=$E31,AV$9&lt;=$F31),"■","")</f>
      </c>
      <c r="AW31" s="0">
        <f>IF(AND(AW$9&gt;=$E31,AW$9&lt;=$F31),"■","")</f>
      </c>
      <c r="AX31" s="0">
        <f>IF(AND(AX$9&gt;=$E31,AX$9&lt;=$F31),"■","")</f>
      </c>
      <c r="AY31" s="0">
        <f>IF(AND(AY$9&gt;=$E31,AY$9&lt;=$F31),"■","")</f>
      </c>
      <c r="AZ31" s="0">
        <f>IF(AND(AZ$9&gt;=$E31,AZ$9&lt;=$F31),"■","")</f>
      </c>
      <c r="BA31" s="0">
        <f>IF(AND(BA$9&gt;=$E31,BA$9&lt;=$F31),"■","")</f>
      </c>
      <c r="BB31" s="0">
        <f>IF(AND(BB$9&gt;=$E31,BB$9&lt;=$F31),"■","")</f>
      </c>
      <c r="BC31" s="0">
        <f>IF(AND(BC$9&gt;=$E31,BC$9&lt;=$F31),"■","")</f>
      </c>
      <c r="BD31" s="0">
        <f>IF(AND(BD$9&gt;=$E31,BD$9&lt;=$F31),"■","")</f>
      </c>
      <c r="BE31" s="0">
        <f>IF(AND(BE$9&gt;=$E31,BE$9&lt;=$F31),"■","")</f>
      </c>
      <c r="BF31" s="0">
        <f>IF(AND(BF$9&gt;=$E31,BF$9&lt;=$F31),"■","")</f>
      </c>
      <c r="BG31" s="0">
        <f>IF(AND(BG$9&gt;=$E31,BG$9&lt;=$F31),"■","")</f>
      </c>
      <c r="BH31" s="0">
        <f>IF(AND(BH$9&gt;=$E31,BH$9&lt;=$F31),"■","")</f>
      </c>
      <c r="BI31" s="0">
        <f>IF(AND(BI$9&gt;=$E31,BI$9&lt;=$F31),"■","")</f>
      </c>
      <c r="BJ31" s="0">
        <f>IF(AND(BJ$9&gt;=$E31,BJ$9&lt;=$F31),"■","")</f>
      </c>
      <c r="BK31" s="0">
        <f>IF(AND(BK$9&gt;=$E31,BK$9&lt;=$F31),"■","")</f>
      </c>
      <c r="BL31" s="0">
        <f>IF(AND(BL$9&gt;=$E31,BL$9&lt;=$F31),"■","")</f>
      </c>
      <c r="BM31" s="0">
        <f>IF(AND(BM$9&gt;=$E31,BM$9&lt;=$F31),"■","")</f>
      </c>
      <c r="BN31" s="0">
        <f>IF(AND(BN$9&gt;=$E31,BN$9&lt;=$F31),"■","")</f>
      </c>
      <c r="BO31" s="0">
        <f>IF(AND(BO$9&gt;=$E31,BO$9&lt;=$F31),"■","")</f>
      </c>
      <c r="BP31" s="0">
        <f>IF(AND(BP$9&gt;=$E31,BP$9&lt;=$F31),"■","")</f>
      </c>
      <c r="BQ31" s="0">
        <f>IF(AND(BQ$9&gt;=$E31,BQ$9&lt;=$F31),"■","")</f>
      </c>
      <c r="BR31" s="0">
        <f>IF(AND(BR$9&gt;=$E31,BR$9&lt;=$F31),"■","")</f>
      </c>
      <c r="BS31" s="0">
        <f>IF(AND(BS$9&gt;=$E31,BS$9&lt;=$F31),"■","")</f>
      </c>
      <c r="BT31" s="0">
        <f>IF(AND(BT$9&gt;=$E31,BT$9&lt;=$F31),"■","")</f>
      </c>
      <c r="BU31" s="0">
        <f>IF(AND(BU$9&gt;=$E31,BU$9&lt;=$F31),"■","")</f>
      </c>
      <c r="BV31" s="0">
        <f>IF(AND(BV$9&gt;=$E31,BV$9&lt;=$F31),"■","")</f>
      </c>
      <c r="BW31" s="0">
        <f>IF(AND(BW$9&gt;=$E31,BW$9&lt;=$F31),"■","")</f>
      </c>
    </row>
    <row r="32">
      <c r="A32" s="0" t="inlineStr">
        <is>
          <t>P001-022</t>
        </is>
      </c>
      <c r="B32" s="0" t="inlineStr">
        <is>
          <t/>
        </is>
      </c>
      <c r="C32" s="0" t="inlineStr">
        <is>
          <t/>
        </is>
      </c>
      <c r="D32" s="0" t="inlineStr">
        <is>
          <t/>
        </is>
      </c>
      <c r="E32" s="0" t="inlineStr">
        <is>
          <t/>
        </is>
      </c>
      <c r="F32" s="0" t="inlineStr">
        <is>
          <t/>
        </is>
      </c>
      <c r="G32" s="0" t="inlineStr">
        <is>
          <t/>
        </is>
      </c>
      <c r="H32" s="0" t="inlineStr">
        <is>
          <t/>
        </is>
      </c>
      <c r="I32" s="0" t="inlineStr">
        <is>
          <t/>
        </is>
      </c>
      <c r="J32" s="0">
        <f>SUMIFS('Suivi Temps'!$D:$D,'Suivi Temps'!$A:$A,"P001-022")</f>
      </c>
      <c r="K32" s="0" t="inlineStr">
        <is>
          <t/>
        </is>
      </c>
      <c r="L32" s="0" t="inlineStr">
        <is>
          <t/>
        </is>
      </c>
      <c r="M32" s="0" t="inlineStr">
        <is>
          <t/>
        </is>
      </c>
      <c r="N32" s="0" t="inlineStr">
        <is>
          <t/>
        </is>
      </c>
      <c r="O32" s="0" t="inlineStr">
        <is>
          <t/>
        </is>
      </c>
      <c r="P32" s="0">
        <f>IF(AND(P$9&gt;=$E32,P$9&lt;=$F32),"■","")</f>
      </c>
      <c r="Q32" s="0">
        <f>IF(AND(Q$9&gt;=$E32,Q$9&lt;=$F32),"■","")</f>
      </c>
      <c r="R32" s="0">
        <f>IF(AND(R$9&gt;=$E32,R$9&lt;=$F32),"■","")</f>
      </c>
      <c r="S32" s="0">
        <f>IF(AND(S$9&gt;=$E32,S$9&lt;=$F32),"■","")</f>
      </c>
      <c r="T32" s="0">
        <f>IF(AND(T$9&gt;=$E32,T$9&lt;=$F32),"■","")</f>
      </c>
      <c r="U32" s="0">
        <f>IF(AND(U$9&gt;=$E32,U$9&lt;=$F32),"■","")</f>
      </c>
      <c r="V32" s="0">
        <f>IF(AND(V$9&gt;=$E32,V$9&lt;=$F32),"■","")</f>
      </c>
      <c r="W32" s="0">
        <f>IF(AND(W$9&gt;=$E32,W$9&lt;=$F32),"■","")</f>
      </c>
      <c r="X32" s="0">
        <f>IF(AND(X$9&gt;=$E32,X$9&lt;=$F32),"■","")</f>
      </c>
      <c r="Y32" s="0">
        <f>IF(AND(Y$9&gt;=$E32,Y$9&lt;=$F32),"■","")</f>
      </c>
      <c r="Z32" s="0">
        <f>IF(AND(Z$9&gt;=$E32,Z$9&lt;=$F32),"■","")</f>
      </c>
      <c r="AA32" s="0">
        <f>IF(AND(AA$9&gt;=$E32,AA$9&lt;=$F32),"■","")</f>
      </c>
      <c r="AB32" s="0">
        <f>IF(AND(AB$9&gt;=$E32,AB$9&lt;=$F32),"■","")</f>
      </c>
      <c r="AC32" s="0">
        <f>IF(AND(AC$9&gt;=$E32,AC$9&lt;=$F32),"■","")</f>
      </c>
      <c r="AD32" s="0">
        <f>IF(AND(AD$9&gt;=$E32,AD$9&lt;=$F32),"■","")</f>
      </c>
      <c r="AE32" s="0">
        <f>IF(AND(AE$9&gt;=$E32,AE$9&lt;=$F32),"■","")</f>
      </c>
      <c r="AF32" s="0">
        <f>IF(AND(AF$9&gt;=$E32,AF$9&lt;=$F32),"■","")</f>
      </c>
      <c r="AG32" s="0">
        <f>IF(AND(AG$9&gt;=$E32,AG$9&lt;=$F32),"■","")</f>
      </c>
      <c r="AH32" s="0">
        <f>IF(AND(AH$9&gt;=$E32,AH$9&lt;=$F32),"■","")</f>
      </c>
      <c r="AI32" s="0">
        <f>IF(AND(AI$9&gt;=$E32,AI$9&lt;=$F32),"■","")</f>
      </c>
      <c r="AJ32" s="0">
        <f>IF(AND(AJ$9&gt;=$E32,AJ$9&lt;=$F32),"■","")</f>
      </c>
      <c r="AK32" s="0">
        <f>IF(AND(AK$9&gt;=$E32,AK$9&lt;=$F32),"■","")</f>
      </c>
      <c r="AL32" s="0">
        <f>IF(AND(AL$9&gt;=$E32,AL$9&lt;=$F32),"■","")</f>
      </c>
      <c r="AM32" s="0">
        <f>IF(AND(AM$9&gt;=$E32,AM$9&lt;=$F32),"■","")</f>
      </c>
      <c r="AN32" s="0">
        <f>IF(AND(AN$9&gt;=$E32,AN$9&lt;=$F32),"■","")</f>
      </c>
      <c r="AO32" s="0">
        <f>IF(AND(AO$9&gt;=$E32,AO$9&lt;=$F32),"■","")</f>
      </c>
      <c r="AP32" s="0">
        <f>IF(AND(AP$9&gt;=$E32,AP$9&lt;=$F32),"■","")</f>
      </c>
      <c r="AQ32" s="0">
        <f>IF(AND(AQ$9&gt;=$E32,AQ$9&lt;=$F32),"■","")</f>
      </c>
      <c r="AR32" s="0">
        <f>IF(AND(AR$9&gt;=$E32,AR$9&lt;=$F32),"■","")</f>
      </c>
      <c r="AS32" s="0">
        <f>IF(AND(AS$9&gt;=$E32,AS$9&lt;=$F32),"■","")</f>
      </c>
      <c r="AT32" s="0">
        <f>IF(AND(AT$9&gt;=$E32,AT$9&lt;=$F32),"■","")</f>
      </c>
      <c r="AU32" s="0">
        <f>IF(AND(AU$9&gt;=$E32,AU$9&lt;=$F32),"■","")</f>
      </c>
      <c r="AV32" s="0">
        <f>IF(AND(AV$9&gt;=$E32,AV$9&lt;=$F32),"■","")</f>
      </c>
      <c r="AW32" s="0">
        <f>IF(AND(AW$9&gt;=$E32,AW$9&lt;=$F32),"■","")</f>
      </c>
      <c r="AX32" s="0">
        <f>IF(AND(AX$9&gt;=$E32,AX$9&lt;=$F32),"■","")</f>
      </c>
      <c r="AY32" s="0">
        <f>IF(AND(AY$9&gt;=$E32,AY$9&lt;=$F32),"■","")</f>
      </c>
      <c r="AZ32" s="0">
        <f>IF(AND(AZ$9&gt;=$E32,AZ$9&lt;=$F32),"■","")</f>
      </c>
      <c r="BA32" s="0">
        <f>IF(AND(BA$9&gt;=$E32,BA$9&lt;=$F32),"■","")</f>
      </c>
      <c r="BB32" s="0">
        <f>IF(AND(BB$9&gt;=$E32,BB$9&lt;=$F32),"■","")</f>
      </c>
      <c r="BC32" s="0">
        <f>IF(AND(BC$9&gt;=$E32,BC$9&lt;=$F32),"■","")</f>
      </c>
      <c r="BD32" s="0">
        <f>IF(AND(BD$9&gt;=$E32,BD$9&lt;=$F32),"■","")</f>
      </c>
      <c r="BE32" s="0">
        <f>IF(AND(BE$9&gt;=$E32,BE$9&lt;=$F32),"■","")</f>
      </c>
      <c r="BF32" s="0">
        <f>IF(AND(BF$9&gt;=$E32,BF$9&lt;=$F32),"■","")</f>
      </c>
      <c r="BG32" s="0">
        <f>IF(AND(BG$9&gt;=$E32,BG$9&lt;=$F32),"■","")</f>
      </c>
      <c r="BH32" s="0">
        <f>IF(AND(BH$9&gt;=$E32,BH$9&lt;=$F32),"■","")</f>
      </c>
      <c r="BI32" s="0">
        <f>IF(AND(BI$9&gt;=$E32,BI$9&lt;=$F32),"■","")</f>
      </c>
      <c r="BJ32" s="0">
        <f>IF(AND(BJ$9&gt;=$E32,BJ$9&lt;=$F32),"■","")</f>
      </c>
      <c r="BK32" s="0">
        <f>IF(AND(BK$9&gt;=$E32,BK$9&lt;=$F32),"■","")</f>
      </c>
      <c r="BL32" s="0">
        <f>IF(AND(BL$9&gt;=$E32,BL$9&lt;=$F32),"■","")</f>
      </c>
      <c r="BM32" s="0">
        <f>IF(AND(BM$9&gt;=$E32,BM$9&lt;=$F32),"■","")</f>
      </c>
      <c r="BN32" s="0">
        <f>IF(AND(BN$9&gt;=$E32,BN$9&lt;=$F32),"■","")</f>
      </c>
      <c r="BO32" s="0">
        <f>IF(AND(BO$9&gt;=$E32,BO$9&lt;=$F32),"■","")</f>
      </c>
      <c r="BP32" s="0">
        <f>IF(AND(BP$9&gt;=$E32,BP$9&lt;=$F32),"■","")</f>
      </c>
      <c r="BQ32" s="0">
        <f>IF(AND(BQ$9&gt;=$E32,BQ$9&lt;=$F32),"■","")</f>
      </c>
      <c r="BR32" s="0">
        <f>IF(AND(BR$9&gt;=$E32,BR$9&lt;=$F32),"■","")</f>
      </c>
      <c r="BS32" s="0">
        <f>IF(AND(BS$9&gt;=$E32,BS$9&lt;=$F32),"■","")</f>
      </c>
      <c r="BT32" s="0">
        <f>IF(AND(BT$9&gt;=$E32,BT$9&lt;=$F32),"■","")</f>
      </c>
      <c r="BU32" s="0">
        <f>IF(AND(BU$9&gt;=$E32,BU$9&lt;=$F32),"■","")</f>
      </c>
      <c r="BV32" s="0">
        <f>IF(AND(BV$9&gt;=$E32,BV$9&lt;=$F32),"■","")</f>
      </c>
      <c r="BW32" s="0">
        <f>IF(AND(BW$9&gt;=$E32,BW$9&lt;=$F32),"■","")</f>
      </c>
    </row>
    <row r="33">
      <c r="A33" s="0" t="inlineStr">
        <is>
          <t>P001-023</t>
        </is>
      </c>
      <c r="B33" s="0" t="inlineStr">
        <is>
          <t/>
        </is>
      </c>
      <c r="C33" s="0" t="inlineStr">
        <is>
          <t/>
        </is>
      </c>
      <c r="D33" s="0" t="inlineStr">
        <is>
          <t/>
        </is>
      </c>
      <c r="E33" s="0" t="inlineStr">
        <is>
          <t/>
        </is>
      </c>
      <c r="F33" s="0" t="inlineStr">
        <is>
          <t/>
        </is>
      </c>
      <c r="G33" s="0" t="inlineStr">
        <is>
          <t/>
        </is>
      </c>
      <c r="H33" s="0" t="inlineStr">
        <is>
          <t/>
        </is>
      </c>
      <c r="I33" s="0" t="inlineStr">
        <is>
          <t/>
        </is>
      </c>
      <c r="J33" s="0">
        <f>SUMIFS('Suivi Temps'!$D:$D,'Suivi Temps'!$A:$A,"P001-023")</f>
      </c>
      <c r="K33" s="0" t="inlineStr">
        <is>
          <t/>
        </is>
      </c>
      <c r="L33" s="0" t="inlineStr">
        <is>
          <t/>
        </is>
      </c>
      <c r="M33" s="0" t="inlineStr">
        <is>
          <t/>
        </is>
      </c>
      <c r="N33" s="0" t="inlineStr">
        <is>
          <t/>
        </is>
      </c>
      <c r="O33" s="0" t="inlineStr">
        <is>
          <t/>
        </is>
      </c>
      <c r="P33" s="0">
        <f>IF(AND(P$9&gt;=$E33,P$9&lt;=$F33),"■","")</f>
      </c>
      <c r="Q33" s="0">
        <f>IF(AND(Q$9&gt;=$E33,Q$9&lt;=$F33),"■","")</f>
      </c>
      <c r="R33" s="0">
        <f>IF(AND(R$9&gt;=$E33,R$9&lt;=$F33),"■","")</f>
      </c>
      <c r="S33" s="0">
        <f>IF(AND(S$9&gt;=$E33,S$9&lt;=$F33),"■","")</f>
      </c>
      <c r="T33" s="0">
        <f>IF(AND(T$9&gt;=$E33,T$9&lt;=$F33),"■","")</f>
      </c>
      <c r="U33" s="0">
        <f>IF(AND(U$9&gt;=$E33,U$9&lt;=$F33),"■","")</f>
      </c>
      <c r="V33" s="0">
        <f>IF(AND(V$9&gt;=$E33,V$9&lt;=$F33),"■","")</f>
      </c>
      <c r="W33" s="0">
        <f>IF(AND(W$9&gt;=$E33,W$9&lt;=$F33),"■","")</f>
      </c>
      <c r="X33" s="0">
        <f>IF(AND(X$9&gt;=$E33,X$9&lt;=$F33),"■","")</f>
      </c>
      <c r="Y33" s="0">
        <f>IF(AND(Y$9&gt;=$E33,Y$9&lt;=$F33),"■","")</f>
      </c>
      <c r="Z33" s="0">
        <f>IF(AND(Z$9&gt;=$E33,Z$9&lt;=$F33),"■","")</f>
      </c>
      <c r="AA33" s="0">
        <f>IF(AND(AA$9&gt;=$E33,AA$9&lt;=$F33),"■","")</f>
      </c>
      <c r="AB33" s="0">
        <f>IF(AND(AB$9&gt;=$E33,AB$9&lt;=$F33),"■","")</f>
      </c>
      <c r="AC33" s="0">
        <f>IF(AND(AC$9&gt;=$E33,AC$9&lt;=$F33),"■","")</f>
      </c>
      <c r="AD33" s="0">
        <f>IF(AND(AD$9&gt;=$E33,AD$9&lt;=$F33),"■","")</f>
      </c>
      <c r="AE33" s="0">
        <f>IF(AND(AE$9&gt;=$E33,AE$9&lt;=$F33),"■","")</f>
      </c>
      <c r="AF33" s="0">
        <f>IF(AND(AF$9&gt;=$E33,AF$9&lt;=$F33),"■","")</f>
      </c>
      <c r="AG33" s="0">
        <f>IF(AND(AG$9&gt;=$E33,AG$9&lt;=$F33),"■","")</f>
      </c>
      <c r="AH33" s="0">
        <f>IF(AND(AH$9&gt;=$E33,AH$9&lt;=$F33),"■","")</f>
      </c>
      <c r="AI33" s="0">
        <f>IF(AND(AI$9&gt;=$E33,AI$9&lt;=$F33),"■","")</f>
      </c>
      <c r="AJ33" s="0">
        <f>IF(AND(AJ$9&gt;=$E33,AJ$9&lt;=$F33),"■","")</f>
      </c>
      <c r="AK33" s="0">
        <f>IF(AND(AK$9&gt;=$E33,AK$9&lt;=$F33),"■","")</f>
      </c>
      <c r="AL33" s="0">
        <f>IF(AND(AL$9&gt;=$E33,AL$9&lt;=$F33),"■","")</f>
      </c>
      <c r="AM33" s="0">
        <f>IF(AND(AM$9&gt;=$E33,AM$9&lt;=$F33),"■","")</f>
      </c>
      <c r="AN33" s="0">
        <f>IF(AND(AN$9&gt;=$E33,AN$9&lt;=$F33),"■","")</f>
      </c>
      <c r="AO33" s="0">
        <f>IF(AND(AO$9&gt;=$E33,AO$9&lt;=$F33),"■","")</f>
      </c>
      <c r="AP33" s="0">
        <f>IF(AND(AP$9&gt;=$E33,AP$9&lt;=$F33),"■","")</f>
      </c>
      <c r="AQ33" s="0">
        <f>IF(AND(AQ$9&gt;=$E33,AQ$9&lt;=$F33),"■","")</f>
      </c>
      <c r="AR33" s="0">
        <f>IF(AND(AR$9&gt;=$E33,AR$9&lt;=$F33),"■","")</f>
      </c>
      <c r="AS33" s="0">
        <f>IF(AND(AS$9&gt;=$E33,AS$9&lt;=$F33),"■","")</f>
      </c>
      <c r="AT33" s="0">
        <f>IF(AND(AT$9&gt;=$E33,AT$9&lt;=$F33),"■","")</f>
      </c>
      <c r="AU33" s="0">
        <f>IF(AND(AU$9&gt;=$E33,AU$9&lt;=$F33),"■","")</f>
      </c>
      <c r="AV33" s="0">
        <f>IF(AND(AV$9&gt;=$E33,AV$9&lt;=$F33),"■","")</f>
      </c>
      <c r="AW33" s="0">
        <f>IF(AND(AW$9&gt;=$E33,AW$9&lt;=$F33),"■","")</f>
      </c>
      <c r="AX33" s="0">
        <f>IF(AND(AX$9&gt;=$E33,AX$9&lt;=$F33),"■","")</f>
      </c>
      <c r="AY33" s="0">
        <f>IF(AND(AY$9&gt;=$E33,AY$9&lt;=$F33),"■","")</f>
      </c>
      <c r="AZ33" s="0">
        <f>IF(AND(AZ$9&gt;=$E33,AZ$9&lt;=$F33),"■","")</f>
      </c>
      <c r="BA33" s="0">
        <f>IF(AND(BA$9&gt;=$E33,BA$9&lt;=$F33),"■","")</f>
      </c>
      <c r="BB33" s="0">
        <f>IF(AND(BB$9&gt;=$E33,BB$9&lt;=$F33),"■","")</f>
      </c>
      <c r="BC33" s="0">
        <f>IF(AND(BC$9&gt;=$E33,BC$9&lt;=$F33),"■","")</f>
      </c>
      <c r="BD33" s="0">
        <f>IF(AND(BD$9&gt;=$E33,BD$9&lt;=$F33),"■","")</f>
      </c>
      <c r="BE33" s="0">
        <f>IF(AND(BE$9&gt;=$E33,BE$9&lt;=$F33),"■","")</f>
      </c>
      <c r="BF33" s="0">
        <f>IF(AND(BF$9&gt;=$E33,BF$9&lt;=$F33),"■","")</f>
      </c>
      <c r="BG33" s="0">
        <f>IF(AND(BG$9&gt;=$E33,BG$9&lt;=$F33),"■","")</f>
      </c>
      <c r="BH33" s="0">
        <f>IF(AND(BH$9&gt;=$E33,BH$9&lt;=$F33),"■","")</f>
      </c>
      <c r="BI33" s="0">
        <f>IF(AND(BI$9&gt;=$E33,BI$9&lt;=$F33),"■","")</f>
      </c>
      <c r="BJ33" s="0">
        <f>IF(AND(BJ$9&gt;=$E33,BJ$9&lt;=$F33),"■","")</f>
      </c>
      <c r="BK33" s="0">
        <f>IF(AND(BK$9&gt;=$E33,BK$9&lt;=$F33),"■","")</f>
      </c>
      <c r="BL33" s="0">
        <f>IF(AND(BL$9&gt;=$E33,BL$9&lt;=$F33),"■","")</f>
      </c>
      <c r="BM33" s="0">
        <f>IF(AND(BM$9&gt;=$E33,BM$9&lt;=$F33),"■","")</f>
      </c>
      <c r="BN33" s="0">
        <f>IF(AND(BN$9&gt;=$E33,BN$9&lt;=$F33),"■","")</f>
      </c>
      <c r="BO33" s="0">
        <f>IF(AND(BO$9&gt;=$E33,BO$9&lt;=$F33),"■","")</f>
      </c>
      <c r="BP33" s="0">
        <f>IF(AND(BP$9&gt;=$E33,BP$9&lt;=$F33),"■","")</f>
      </c>
      <c r="BQ33" s="0">
        <f>IF(AND(BQ$9&gt;=$E33,BQ$9&lt;=$F33),"■","")</f>
      </c>
      <c r="BR33" s="0">
        <f>IF(AND(BR$9&gt;=$E33,BR$9&lt;=$F33),"■","")</f>
      </c>
      <c r="BS33" s="0">
        <f>IF(AND(BS$9&gt;=$E33,BS$9&lt;=$F33),"■","")</f>
      </c>
      <c r="BT33" s="0">
        <f>IF(AND(BT$9&gt;=$E33,BT$9&lt;=$F33),"■","")</f>
      </c>
      <c r="BU33" s="0">
        <f>IF(AND(BU$9&gt;=$E33,BU$9&lt;=$F33),"■","")</f>
      </c>
      <c r="BV33" s="0">
        <f>IF(AND(BV$9&gt;=$E33,BV$9&lt;=$F33),"■","")</f>
      </c>
      <c r="BW33" s="0">
        <f>IF(AND(BW$9&gt;=$E33,BW$9&lt;=$F33),"■","")</f>
      </c>
    </row>
    <row r="34">
      <c r="A34" s="0" t="inlineStr">
        <is>
          <t>P001-024</t>
        </is>
      </c>
      <c r="B34" s="0" t="inlineStr">
        <is>
          <t/>
        </is>
      </c>
      <c r="C34" s="0" t="inlineStr">
        <is>
          <t/>
        </is>
      </c>
      <c r="D34" s="0" t="inlineStr">
        <is>
          <t/>
        </is>
      </c>
      <c r="E34" s="0" t="inlineStr">
        <is>
          <t/>
        </is>
      </c>
      <c r="F34" s="0" t="inlineStr">
        <is>
          <t/>
        </is>
      </c>
      <c r="G34" s="0" t="inlineStr">
        <is>
          <t/>
        </is>
      </c>
      <c r="H34" s="0" t="inlineStr">
        <is>
          <t/>
        </is>
      </c>
      <c r="I34" s="0" t="inlineStr">
        <is>
          <t/>
        </is>
      </c>
      <c r="J34" s="0">
        <f>SUMIFS('Suivi Temps'!$D:$D,'Suivi Temps'!$A:$A,"P001-024")</f>
      </c>
      <c r="K34" s="0" t="inlineStr">
        <is>
          <t/>
        </is>
      </c>
      <c r="L34" s="0" t="inlineStr">
        <is>
          <t/>
        </is>
      </c>
      <c r="M34" s="0" t="inlineStr">
        <is>
          <t/>
        </is>
      </c>
      <c r="N34" s="0" t="inlineStr">
        <is>
          <t/>
        </is>
      </c>
      <c r="O34" s="0" t="inlineStr">
        <is>
          <t/>
        </is>
      </c>
      <c r="P34" s="0">
        <f>IF(AND(P$9&gt;=$E34,P$9&lt;=$F34),"■","")</f>
      </c>
      <c r="Q34" s="0">
        <f>IF(AND(Q$9&gt;=$E34,Q$9&lt;=$F34),"■","")</f>
      </c>
      <c r="R34" s="0">
        <f>IF(AND(R$9&gt;=$E34,R$9&lt;=$F34),"■","")</f>
      </c>
      <c r="S34" s="0">
        <f>IF(AND(S$9&gt;=$E34,S$9&lt;=$F34),"■","")</f>
      </c>
      <c r="T34" s="0">
        <f>IF(AND(T$9&gt;=$E34,T$9&lt;=$F34),"■","")</f>
      </c>
      <c r="U34" s="0">
        <f>IF(AND(U$9&gt;=$E34,U$9&lt;=$F34),"■","")</f>
      </c>
      <c r="V34" s="0">
        <f>IF(AND(V$9&gt;=$E34,V$9&lt;=$F34),"■","")</f>
      </c>
      <c r="W34" s="0">
        <f>IF(AND(W$9&gt;=$E34,W$9&lt;=$F34),"■","")</f>
      </c>
      <c r="X34" s="0">
        <f>IF(AND(X$9&gt;=$E34,X$9&lt;=$F34),"■","")</f>
      </c>
      <c r="Y34" s="0">
        <f>IF(AND(Y$9&gt;=$E34,Y$9&lt;=$F34),"■","")</f>
      </c>
      <c r="Z34" s="0">
        <f>IF(AND(Z$9&gt;=$E34,Z$9&lt;=$F34),"■","")</f>
      </c>
      <c r="AA34" s="0">
        <f>IF(AND(AA$9&gt;=$E34,AA$9&lt;=$F34),"■","")</f>
      </c>
      <c r="AB34" s="0">
        <f>IF(AND(AB$9&gt;=$E34,AB$9&lt;=$F34),"■","")</f>
      </c>
      <c r="AC34" s="0">
        <f>IF(AND(AC$9&gt;=$E34,AC$9&lt;=$F34),"■","")</f>
      </c>
      <c r="AD34" s="0">
        <f>IF(AND(AD$9&gt;=$E34,AD$9&lt;=$F34),"■","")</f>
      </c>
      <c r="AE34" s="0">
        <f>IF(AND(AE$9&gt;=$E34,AE$9&lt;=$F34),"■","")</f>
      </c>
      <c r="AF34" s="0">
        <f>IF(AND(AF$9&gt;=$E34,AF$9&lt;=$F34),"■","")</f>
      </c>
      <c r="AG34" s="0">
        <f>IF(AND(AG$9&gt;=$E34,AG$9&lt;=$F34),"■","")</f>
      </c>
      <c r="AH34" s="0">
        <f>IF(AND(AH$9&gt;=$E34,AH$9&lt;=$F34),"■","")</f>
      </c>
      <c r="AI34" s="0">
        <f>IF(AND(AI$9&gt;=$E34,AI$9&lt;=$F34),"■","")</f>
      </c>
      <c r="AJ34" s="0">
        <f>IF(AND(AJ$9&gt;=$E34,AJ$9&lt;=$F34),"■","")</f>
      </c>
      <c r="AK34" s="0">
        <f>IF(AND(AK$9&gt;=$E34,AK$9&lt;=$F34),"■","")</f>
      </c>
      <c r="AL34" s="0">
        <f>IF(AND(AL$9&gt;=$E34,AL$9&lt;=$F34),"■","")</f>
      </c>
      <c r="AM34" s="0">
        <f>IF(AND(AM$9&gt;=$E34,AM$9&lt;=$F34),"■","")</f>
      </c>
      <c r="AN34" s="0">
        <f>IF(AND(AN$9&gt;=$E34,AN$9&lt;=$F34),"■","")</f>
      </c>
      <c r="AO34" s="0">
        <f>IF(AND(AO$9&gt;=$E34,AO$9&lt;=$F34),"■","")</f>
      </c>
      <c r="AP34" s="0">
        <f>IF(AND(AP$9&gt;=$E34,AP$9&lt;=$F34),"■","")</f>
      </c>
      <c r="AQ34" s="0">
        <f>IF(AND(AQ$9&gt;=$E34,AQ$9&lt;=$F34),"■","")</f>
      </c>
      <c r="AR34" s="0">
        <f>IF(AND(AR$9&gt;=$E34,AR$9&lt;=$F34),"■","")</f>
      </c>
      <c r="AS34" s="0">
        <f>IF(AND(AS$9&gt;=$E34,AS$9&lt;=$F34),"■","")</f>
      </c>
      <c r="AT34" s="0">
        <f>IF(AND(AT$9&gt;=$E34,AT$9&lt;=$F34),"■","")</f>
      </c>
      <c r="AU34" s="0">
        <f>IF(AND(AU$9&gt;=$E34,AU$9&lt;=$F34),"■","")</f>
      </c>
      <c r="AV34" s="0">
        <f>IF(AND(AV$9&gt;=$E34,AV$9&lt;=$F34),"■","")</f>
      </c>
      <c r="AW34" s="0">
        <f>IF(AND(AW$9&gt;=$E34,AW$9&lt;=$F34),"■","")</f>
      </c>
      <c r="AX34" s="0">
        <f>IF(AND(AX$9&gt;=$E34,AX$9&lt;=$F34),"■","")</f>
      </c>
      <c r="AY34" s="0">
        <f>IF(AND(AY$9&gt;=$E34,AY$9&lt;=$F34),"■","")</f>
      </c>
      <c r="AZ34" s="0">
        <f>IF(AND(AZ$9&gt;=$E34,AZ$9&lt;=$F34),"■","")</f>
      </c>
      <c r="BA34" s="0">
        <f>IF(AND(BA$9&gt;=$E34,BA$9&lt;=$F34),"■","")</f>
      </c>
      <c r="BB34" s="0">
        <f>IF(AND(BB$9&gt;=$E34,BB$9&lt;=$F34),"■","")</f>
      </c>
      <c r="BC34" s="0">
        <f>IF(AND(BC$9&gt;=$E34,BC$9&lt;=$F34),"■","")</f>
      </c>
      <c r="BD34" s="0">
        <f>IF(AND(BD$9&gt;=$E34,BD$9&lt;=$F34),"■","")</f>
      </c>
      <c r="BE34" s="0">
        <f>IF(AND(BE$9&gt;=$E34,BE$9&lt;=$F34),"■","")</f>
      </c>
      <c r="BF34" s="0">
        <f>IF(AND(BF$9&gt;=$E34,BF$9&lt;=$F34),"■","")</f>
      </c>
      <c r="BG34" s="0">
        <f>IF(AND(BG$9&gt;=$E34,BG$9&lt;=$F34),"■","")</f>
      </c>
      <c r="BH34" s="0">
        <f>IF(AND(BH$9&gt;=$E34,BH$9&lt;=$F34),"■","")</f>
      </c>
      <c r="BI34" s="0">
        <f>IF(AND(BI$9&gt;=$E34,BI$9&lt;=$F34),"■","")</f>
      </c>
      <c r="BJ34" s="0">
        <f>IF(AND(BJ$9&gt;=$E34,BJ$9&lt;=$F34),"■","")</f>
      </c>
      <c r="BK34" s="0">
        <f>IF(AND(BK$9&gt;=$E34,BK$9&lt;=$F34),"■","")</f>
      </c>
      <c r="BL34" s="0">
        <f>IF(AND(BL$9&gt;=$E34,BL$9&lt;=$F34),"■","")</f>
      </c>
      <c r="BM34" s="0">
        <f>IF(AND(BM$9&gt;=$E34,BM$9&lt;=$F34),"■","")</f>
      </c>
      <c r="BN34" s="0">
        <f>IF(AND(BN$9&gt;=$E34,BN$9&lt;=$F34),"■","")</f>
      </c>
      <c r="BO34" s="0">
        <f>IF(AND(BO$9&gt;=$E34,BO$9&lt;=$F34),"■","")</f>
      </c>
      <c r="BP34" s="0">
        <f>IF(AND(BP$9&gt;=$E34,BP$9&lt;=$F34),"■","")</f>
      </c>
      <c r="BQ34" s="0">
        <f>IF(AND(BQ$9&gt;=$E34,BQ$9&lt;=$F34),"■","")</f>
      </c>
      <c r="BR34" s="0">
        <f>IF(AND(BR$9&gt;=$E34,BR$9&lt;=$F34),"■","")</f>
      </c>
      <c r="BS34" s="0">
        <f>IF(AND(BS$9&gt;=$E34,BS$9&lt;=$F34),"■","")</f>
      </c>
      <c r="BT34" s="0">
        <f>IF(AND(BT$9&gt;=$E34,BT$9&lt;=$F34),"■","")</f>
      </c>
      <c r="BU34" s="0">
        <f>IF(AND(BU$9&gt;=$E34,BU$9&lt;=$F34),"■","")</f>
      </c>
      <c r="BV34" s="0">
        <f>IF(AND(BV$9&gt;=$E34,BV$9&lt;=$F34),"■","")</f>
      </c>
      <c r="BW34" s="0">
        <f>IF(AND(BW$9&gt;=$E34,BW$9&lt;=$F34),"■","")</f>
      </c>
    </row>
    <row r="35">
      <c r="A35" s="0" t="inlineStr">
        <is>
          <t>P001-025</t>
        </is>
      </c>
      <c r="B35" s="0" t="inlineStr">
        <is>
          <t/>
        </is>
      </c>
      <c r="C35" s="0" t="inlineStr">
        <is>
          <t/>
        </is>
      </c>
      <c r="D35" s="0" t="inlineStr">
        <is>
          <t/>
        </is>
      </c>
      <c r="E35" s="0" t="inlineStr">
        <is>
          <t/>
        </is>
      </c>
      <c r="F35" s="0" t="inlineStr">
        <is>
          <t/>
        </is>
      </c>
      <c r="G35" s="0" t="inlineStr">
        <is>
          <t/>
        </is>
      </c>
      <c r="H35" s="0" t="inlineStr">
        <is>
          <t/>
        </is>
      </c>
      <c r="I35" s="0" t="inlineStr">
        <is>
          <t/>
        </is>
      </c>
      <c r="J35" s="0">
        <f>SUMIFS('Suivi Temps'!$D:$D,'Suivi Temps'!$A:$A,"P001-025")</f>
      </c>
      <c r="K35" s="0" t="inlineStr">
        <is>
          <t/>
        </is>
      </c>
      <c r="L35" s="0" t="inlineStr">
        <is>
          <t/>
        </is>
      </c>
      <c r="M35" s="0" t="inlineStr">
        <is>
          <t/>
        </is>
      </c>
      <c r="N35" s="0" t="inlineStr">
        <is>
          <t/>
        </is>
      </c>
      <c r="O35" s="0" t="inlineStr">
        <is>
          <t/>
        </is>
      </c>
      <c r="P35" s="0">
        <f>IF(AND(P$9&gt;=$E35,P$9&lt;=$F35),"■","")</f>
      </c>
      <c r="Q35" s="0">
        <f>IF(AND(Q$9&gt;=$E35,Q$9&lt;=$F35),"■","")</f>
      </c>
      <c r="R35" s="0">
        <f>IF(AND(R$9&gt;=$E35,R$9&lt;=$F35),"■","")</f>
      </c>
      <c r="S35" s="0">
        <f>IF(AND(S$9&gt;=$E35,S$9&lt;=$F35),"■","")</f>
      </c>
      <c r="T35" s="0">
        <f>IF(AND(T$9&gt;=$E35,T$9&lt;=$F35),"■","")</f>
      </c>
      <c r="U35" s="0">
        <f>IF(AND(U$9&gt;=$E35,U$9&lt;=$F35),"■","")</f>
      </c>
      <c r="V35" s="0">
        <f>IF(AND(V$9&gt;=$E35,V$9&lt;=$F35),"■","")</f>
      </c>
      <c r="W35" s="0">
        <f>IF(AND(W$9&gt;=$E35,W$9&lt;=$F35),"■","")</f>
      </c>
      <c r="X35" s="0">
        <f>IF(AND(X$9&gt;=$E35,X$9&lt;=$F35),"■","")</f>
      </c>
      <c r="Y35" s="0">
        <f>IF(AND(Y$9&gt;=$E35,Y$9&lt;=$F35),"■","")</f>
      </c>
      <c r="Z35" s="0">
        <f>IF(AND(Z$9&gt;=$E35,Z$9&lt;=$F35),"■","")</f>
      </c>
      <c r="AA35" s="0">
        <f>IF(AND(AA$9&gt;=$E35,AA$9&lt;=$F35),"■","")</f>
      </c>
      <c r="AB35" s="0">
        <f>IF(AND(AB$9&gt;=$E35,AB$9&lt;=$F35),"■","")</f>
      </c>
      <c r="AC35" s="0">
        <f>IF(AND(AC$9&gt;=$E35,AC$9&lt;=$F35),"■","")</f>
      </c>
      <c r="AD35" s="0">
        <f>IF(AND(AD$9&gt;=$E35,AD$9&lt;=$F35),"■","")</f>
      </c>
      <c r="AE35" s="0">
        <f>IF(AND(AE$9&gt;=$E35,AE$9&lt;=$F35),"■","")</f>
      </c>
      <c r="AF35" s="0">
        <f>IF(AND(AF$9&gt;=$E35,AF$9&lt;=$F35),"■","")</f>
      </c>
      <c r="AG35" s="0">
        <f>IF(AND(AG$9&gt;=$E35,AG$9&lt;=$F35),"■","")</f>
      </c>
      <c r="AH35" s="0">
        <f>IF(AND(AH$9&gt;=$E35,AH$9&lt;=$F35),"■","")</f>
      </c>
      <c r="AI35" s="0">
        <f>IF(AND(AI$9&gt;=$E35,AI$9&lt;=$F35),"■","")</f>
      </c>
      <c r="AJ35" s="0">
        <f>IF(AND(AJ$9&gt;=$E35,AJ$9&lt;=$F35),"■","")</f>
      </c>
      <c r="AK35" s="0">
        <f>IF(AND(AK$9&gt;=$E35,AK$9&lt;=$F35),"■","")</f>
      </c>
      <c r="AL35" s="0">
        <f>IF(AND(AL$9&gt;=$E35,AL$9&lt;=$F35),"■","")</f>
      </c>
      <c r="AM35" s="0">
        <f>IF(AND(AM$9&gt;=$E35,AM$9&lt;=$F35),"■","")</f>
      </c>
      <c r="AN35" s="0">
        <f>IF(AND(AN$9&gt;=$E35,AN$9&lt;=$F35),"■","")</f>
      </c>
      <c r="AO35" s="0">
        <f>IF(AND(AO$9&gt;=$E35,AO$9&lt;=$F35),"■","")</f>
      </c>
      <c r="AP35" s="0">
        <f>IF(AND(AP$9&gt;=$E35,AP$9&lt;=$F35),"■","")</f>
      </c>
      <c r="AQ35" s="0">
        <f>IF(AND(AQ$9&gt;=$E35,AQ$9&lt;=$F35),"■","")</f>
      </c>
      <c r="AR35" s="0">
        <f>IF(AND(AR$9&gt;=$E35,AR$9&lt;=$F35),"■","")</f>
      </c>
      <c r="AS35" s="0">
        <f>IF(AND(AS$9&gt;=$E35,AS$9&lt;=$F35),"■","")</f>
      </c>
      <c r="AT35" s="0">
        <f>IF(AND(AT$9&gt;=$E35,AT$9&lt;=$F35),"■","")</f>
      </c>
      <c r="AU35" s="0">
        <f>IF(AND(AU$9&gt;=$E35,AU$9&lt;=$F35),"■","")</f>
      </c>
      <c r="AV35" s="0">
        <f>IF(AND(AV$9&gt;=$E35,AV$9&lt;=$F35),"■","")</f>
      </c>
      <c r="AW35" s="0">
        <f>IF(AND(AW$9&gt;=$E35,AW$9&lt;=$F35),"■","")</f>
      </c>
      <c r="AX35" s="0">
        <f>IF(AND(AX$9&gt;=$E35,AX$9&lt;=$F35),"■","")</f>
      </c>
      <c r="AY35" s="0">
        <f>IF(AND(AY$9&gt;=$E35,AY$9&lt;=$F35),"■","")</f>
      </c>
      <c r="AZ35" s="0">
        <f>IF(AND(AZ$9&gt;=$E35,AZ$9&lt;=$F35),"■","")</f>
      </c>
      <c r="BA35" s="0">
        <f>IF(AND(BA$9&gt;=$E35,BA$9&lt;=$F35),"■","")</f>
      </c>
      <c r="BB35" s="0">
        <f>IF(AND(BB$9&gt;=$E35,BB$9&lt;=$F35),"■","")</f>
      </c>
      <c r="BC35" s="0">
        <f>IF(AND(BC$9&gt;=$E35,BC$9&lt;=$F35),"■","")</f>
      </c>
      <c r="BD35" s="0">
        <f>IF(AND(BD$9&gt;=$E35,BD$9&lt;=$F35),"■","")</f>
      </c>
      <c r="BE35" s="0">
        <f>IF(AND(BE$9&gt;=$E35,BE$9&lt;=$F35),"■","")</f>
      </c>
      <c r="BF35" s="0">
        <f>IF(AND(BF$9&gt;=$E35,BF$9&lt;=$F35),"■","")</f>
      </c>
      <c r="BG35" s="0">
        <f>IF(AND(BG$9&gt;=$E35,BG$9&lt;=$F35),"■","")</f>
      </c>
      <c r="BH35" s="0">
        <f>IF(AND(BH$9&gt;=$E35,BH$9&lt;=$F35),"■","")</f>
      </c>
      <c r="BI35" s="0">
        <f>IF(AND(BI$9&gt;=$E35,BI$9&lt;=$F35),"■","")</f>
      </c>
      <c r="BJ35" s="0">
        <f>IF(AND(BJ$9&gt;=$E35,BJ$9&lt;=$F35),"■","")</f>
      </c>
      <c r="BK35" s="0">
        <f>IF(AND(BK$9&gt;=$E35,BK$9&lt;=$F35),"■","")</f>
      </c>
      <c r="BL35" s="0">
        <f>IF(AND(BL$9&gt;=$E35,BL$9&lt;=$F35),"■","")</f>
      </c>
      <c r="BM35" s="0">
        <f>IF(AND(BM$9&gt;=$E35,BM$9&lt;=$F35),"■","")</f>
      </c>
      <c r="BN35" s="0">
        <f>IF(AND(BN$9&gt;=$E35,BN$9&lt;=$F35),"■","")</f>
      </c>
      <c r="BO35" s="0">
        <f>IF(AND(BO$9&gt;=$E35,BO$9&lt;=$F35),"■","")</f>
      </c>
      <c r="BP35" s="0">
        <f>IF(AND(BP$9&gt;=$E35,BP$9&lt;=$F35),"■","")</f>
      </c>
      <c r="BQ35" s="0">
        <f>IF(AND(BQ$9&gt;=$E35,BQ$9&lt;=$F35),"■","")</f>
      </c>
      <c r="BR35" s="0">
        <f>IF(AND(BR$9&gt;=$E35,BR$9&lt;=$F35),"■","")</f>
      </c>
      <c r="BS35" s="0">
        <f>IF(AND(BS$9&gt;=$E35,BS$9&lt;=$F35),"■","")</f>
      </c>
      <c r="BT35" s="0">
        <f>IF(AND(BT$9&gt;=$E35,BT$9&lt;=$F35),"■","")</f>
      </c>
      <c r="BU35" s="0">
        <f>IF(AND(BU$9&gt;=$E35,BU$9&lt;=$F35),"■","")</f>
      </c>
      <c r="BV35" s="0">
        <f>IF(AND(BV$9&gt;=$E35,BV$9&lt;=$F35),"■","")</f>
      </c>
      <c r="BW35" s="0">
        <f>IF(AND(BW$9&gt;=$E35,BW$9&lt;=$F35),"■","")</f>
      </c>
    </row>
    <row r="36">
      <c r="A36" s="0" t="inlineStr">
        <is>
          <t>P001-026</t>
        </is>
      </c>
      <c r="B36" s="0" t="inlineStr">
        <is>
          <t/>
        </is>
      </c>
      <c r="C36" s="0" t="inlineStr">
        <is>
          <t/>
        </is>
      </c>
      <c r="D36" s="0" t="inlineStr">
        <is>
          <t/>
        </is>
      </c>
      <c r="E36" s="0" t="inlineStr">
        <is>
          <t/>
        </is>
      </c>
      <c r="F36" s="0" t="inlineStr">
        <is>
          <t/>
        </is>
      </c>
      <c r="G36" s="0" t="inlineStr">
        <is>
          <t/>
        </is>
      </c>
      <c r="H36" s="0" t="inlineStr">
        <is>
          <t/>
        </is>
      </c>
      <c r="I36" s="0" t="inlineStr">
        <is>
          <t/>
        </is>
      </c>
      <c r="J36" s="0">
        <f>SUMIFS('Suivi Temps'!$D:$D,'Suivi Temps'!$A:$A,"P001-026")</f>
      </c>
      <c r="K36" s="0" t="inlineStr">
        <is>
          <t/>
        </is>
      </c>
      <c r="L36" s="0" t="inlineStr">
        <is>
          <t/>
        </is>
      </c>
      <c r="M36" s="0" t="inlineStr">
        <is>
          <t/>
        </is>
      </c>
      <c r="N36" s="0" t="inlineStr">
        <is>
          <t/>
        </is>
      </c>
      <c r="O36" s="0" t="inlineStr">
        <is>
          <t/>
        </is>
      </c>
      <c r="P36" s="0">
        <f>IF(AND(P$9&gt;=$E36,P$9&lt;=$F36),"■","")</f>
      </c>
      <c r="Q36" s="0">
        <f>IF(AND(Q$9&gt;=$E36,Q$9&lt;=$F36),"■","")</f>
      </c>
      <c r="R36" s="0">
        <f>IF(AND(R$9&gt;=$E36,R$9&lt;=$F36),"■","")</f>
      </c>
      <c r="S36" s="0">
        <f>IF(AND(S$9&gt;=$E36,S$9&lt;=$F36),"■","")</f>
      </c>
      <c r="T36" s="0">
        <f>IF(AND(T$9&gt;=$E36,T$9&lt;=$F36),"■","")</f>
      </c>
      <c r="U36" s="0">
        <f>IF(AND(U$9&gt;=$E36,U$9&lt;=$F36),"■","")</f>
      </c>
      <c r="V36" s="0">
        <f>IF(AND(V$9&gt;=$E36,V$9&lt;=$F36),"■","")</f>
      </c>
      <c r="W36" s="0">
        <f>IF(AND(W$9&gt;=$E36,W$9&lt;=$F36),"■","")</f>
      </c>
      <c r="X36" s="0">
        <f>IF(AND(X$9&gt;=$E36,X$9&lt;=$F36),"■","")</f>
      </c>
      <c r="Y36" s="0">
        <f>IF(AND(Y$9&gt;=$E36,Y$9&lt;=$F36),"■","")</f>
      </c>
      <c r="Z36" s="0">
        <f>IF(AND(Z$9&gt;=$E36,Z$9&lt;=$F36),"■","")</f>
      </c>
      <c r="AA36" s="0">
        <f>IF(AND(AA$9&gt;=$E36,AA$9&lt;=$F36),"■","")</f>
      </c>
      <c r="AB36" s="0">
        <f>IF(AND(AB$9&gt;=$E36,AB$9&lt;=$F36),"■","")</f>
      </c>
      <c r="AC36" s="0">
        <f>IF(AND(AC$9&gt;=$E36,AC$9&lt;=$F36),"■","")</f>
      </c>
      <c r="AD36" s="0">
        <f>IF(AND(AD$9&gt;=$E36,AD$9&lt;=$F36),"■","")</f>
      </c>
      <c r="AE36" s="0">
        <f>IF(AND(AE$9&gt;=$E36,AE$9&lt;=$F36),"■","")</f>
      </c>
      <c r="AF36" s="0">
        <f>IF(AND(AF$9&gt;=$E36,AF$9&lt;=$F36),"■","")</f>
      </c>
      <c r="AG36" s="0">
        <f>IF(AND(AG$9&gt;=$E36,AG$9&lt;=$F36),"■","")</f>
      </c>
      <c r="AH36" s="0">
        <f>IF(AND(AH$9&gt;=$E36,AH$9&lt;=$F36),"■","")</f>
      </c>
      <c r="AI36" s="0">
        <f>IF(AND(AI$9&gt;=$E36,AI$9&lt;=$F36),"■","")</f>
      </c>
      <c r="AJ36" s="0">
        <f>IF(AND(AJ$9&gt;=$E36,AJ$9&lt;=$F36),"■","")</f>
      </c>
      <c r="AK36" s="0">
        <f>IF(AND(AK$9&gt;=$E36,AK$9&lt;=$F36),"■","")</f>
      </c>
      <c r="AL36" s="0">
        <f>IF(AND(AL$9&gt;=$E36,AL$9&lt;=$F36),"■","")</f>
      </c>
      <c r="AM36" s="0">
        <f>IF(AND(AM$9&gt;=$E36,AM$9&lt;=$F36),"■","")</f>
      </c>
      <c r="AN36" s="0">
        <f>IF(AND(AN$9&gt;=$E36,AN$9&lt;=$F36),"■","")</f>
      </c>
      <c r="AO36" s="0">
        <f>IF(AND(AO$9&gt;=$E36,AO$9&lt;=$F36),"■","")</f>
      </c>
      <c r="AP36" s="0">
        <f>IF(AND(AP$9&gt;=$E36,AP$9&lt;=$F36),"■","")</f>
      </c>
      <c r="AQ36" s="0">
        <f>IF(AND(AQ$9&gt;=$E36,AQ$9&lt;=$F36),"■","")</f>
      </c>
      <c r="AR36" s="0">
        <f>IF(AND(AR$9&gt;=$E36,AR$9&lt;=$F36),"■","")</f>
      </c>
      <c r="AS36" s="0">
        <f>IF(AND(AS$9&gt;=$E36,AS$9&lt;=$F36),"■","")</f>
      </c>
      <c r="AT36" s="0">
        <f>IF(AND(AT$9&gt;=$E36,AT$9&lt;=$F36),"■","")</f>
      </c>
      <c r="AU36" s="0">
        <f>IF(AND(AU$9&gt;=$E36,AU$9&lt;=$F36),"■","")</f>
      </c>
      <c r="AV36" s="0">
        <f>IF(AND(AV$9&gt;=$E36,AV$9&lt;=$F36),"■","")</f>
      </c>
      <c r="AW36" s="0">
        <f>IF(AND(AW$9&gt;=$E36,AW$9&lt;=$F36),"■","")</f>
      </c>
      <c r="AX36" s="0">
        <f>IF(AND(AX$9&gt;=$E36,AX$9&lt;=$F36),"■","")</f>
      </c>
      <c r="AY36" s="0">
        <f>IF(AND(AY$9&gt;=$E36,AY$9&lt;=$F36),"■","")</f>
      </c>
      <c r="AZ36" s="0">
        <f>IF(AND(AZ$9&gt;=$E36,AZ$9&lt;=$F36),"■","")</f>
      </c>
      <c r="BA36" s="0">
        <f>IF(AND(BA$9&gt;=$E36,BA$9&lt;=$F36),"■","")</f>
      </c>
      <c r="BB36" s="0">
        <f>IF(AND(BB$9&gt;=$E36,BB$9&lt;=$F36),"■","")</f>
      </c>
      <c r="BC36" s="0">
        <f>IF(AND(BC$9&gt;=$E36,BC$9&lt;=$F36),"■","")</f>
      </c>
      <c r="BD36" s="0">
        <f>IF(AND(BD$9&gt;=$E36,BD$9&lt;=$F36),"■","")</f>
      </c>
      <c r="BE36" s="0">
        <f>IF(AND(BE$9&gt;=$E36,BE$9&lt;=$F36),"■","")</f>
      </c>
      <c r="BF36" s="0">
        <f>IF(AND(BF$9&gt;=$E36,BF$9&lt;=$F36),"■","")</f>
      </c>
      <c r="BG36" s="0">
        <f>IF(AND(BG$9&gt;=$E36,BG$9&lt;=$F36),"■","")</f>
      </c>
      <c r="BH36" s="0">
        <f>IF(AND(BH$9&gt;=$E36,BH$9&lt;=$F36),"■","")</f>
      </c>
      <c r="BI36" s="0">
        <f>IF(AND(BI$9&gt;=$E36,BI$9&lt;=$F36),"■","")</f>
      </c>
      <c r="BJ36" s="0">
        <f>IF(AND(BJ$9&gt;=$E36,BJ$9&lt;=$F36),"■","")</f>
      </c>
      <c r="BK36" s="0">
        <f>IF(AND(BK$9&gt;=$E36,BK$9&lt;=$F36),"■","")</f>
      </c>
      <c r="BL36" s="0">
        <f>IF(AND(BL$9&gt;=$E36,BL$9&lt;=$F36),"■","")</f>
      </c>
      <c r="BM36" s="0">
        <f>IF(AND(BM$9&gt;=$E36,BM$9&lt;=$F36),"■","")</f>
      </c>
      <c r="BN36" s="0">
        <f>IF(AND(BN$9&gt;=$E36,BN$9&lt;=$F36),"■","")</f>
      </c>
      <c r="BO36" s="0">
        <f>IF(AND(BO$9&gt;=$E36,BO$9&lt;=$F36),"■","")</f>
      </c>
      <c r="BP36" s="0">
        <f>IF(AND(BP$9&gt;=$E36,BP$9&lt;=$F36),"■","")</f>
      </c>
      <c r="BQ36" s="0">
        <f>IF(AND(BQ$9&gt;=$E36,BQ$9&lt;=$F36),"■","")</f>
      </c>
      <c r="BR36" s="0">
        <f>IF(AND(BR$9&gt;=$E36,BR$9&lt;=$F36),"■","")</f>
      </c>
      <c r="BS36" s="0">
        <f>IF(AND(BS$9&gt;=$E36,BS$9&lt;=$F36),"■","")</f>
      </c>
      <c r="BT36" s="0">
        <f>IF(AND(BT$9&gt;=$E36,BT$9&lt;=$F36),"■","")</f>
      </c>
      <c r="BU36" s="0">
        <f>IF(AND(BU$9&gt;=$E36,BU$9&lt;=$F36),"■","")</f>
      </c>
      <c r="BV36" s="0">
        <f>IF(AND(BV$9&gt;=$E36,BV$9&lt;=$F36),"■","")</f>
      </c>
      <c r="BW36" s="0">
        <f>IF(AND(BW$9&gt;=$E36,BW$9&lt;=$F36),"■","")</f>
      </c>
    </row>
    <row r="37">
      <c r="A37" s="0" t="inlineStr">
        <is>
          <t>P001-027</t>
        </is>
      </c>
      <c r="B37" s="0" t="inlineStr">
        <is>
          <t/>
        </is>
      </c>
      <c r="C37" s="0" t="inlineStr">
        <is>
          <t/>
        </is>
      </c>
      <c r="D37" s="0" t="inlineStr">
        <is>
          <t/>
        </is>
      </c>
      <c r="E37" s="0" t="inlineStr">
        <is>
          <t/>
        </is>
      </c>
      <c r="F37" s="0" t="inlineStr">
        <is>
          <t/>
        </is>
      </c>
      <c r="G37" s="0" t="inlineStr">
        <is>
          <t/>
        </is>
      </c>
      <c r="H37" s="0" t="inlineStr">
        <is>
          <t/>
        </is>
      </c>
      <c r="I37" s="0" t="inlineStr">
        <is>
          <t/>
        </is>
      </c>
      <c r="J37" s="0">
        <f>SUMIFS('Suivi Temps'!$D:$D,'Suivi Temps'!$A:$A,"P001-027")</f>
      </c>
      <c r="K37" s="0" t="inlineStr">
        <is>
          <t/>
        </is>
      </c>
      <c r="L37" s="0" t="inlineStr">
        <is>
          <t/>
        </is>
      </c>
      <c r="M37" s="0" t="inlineStr">
        <is>
          <t/>
        </is>
      </c>
      <c r="N37" s="0" t="inlineStr">
        <is>
          <t/>
        </is>
      </c>
      <c r="O37" s="0" t="inlineStr">
        <is>
          <t/>
        </is>
      </c>
      <c r="P37" s="0">
        <f>IF(AND(P$9&gt;=$E37,P$9&lt;=$F37),"■","")</f>
      </c>
      <c r="Q37" s="0">
        <f>IF(AND(Q$9&gt;=$E37,Q$9&lt;=$F37),"■","")</f>
      </c>
      <c r="R37" s="0">
        <f>IF(AND(R$9&gt;=$E37,R$9&lt;=$F37),"■","")</f>
      </c>
      <c r="S37" s="0">
        <f>IF(AND(S$9&gt;=$E37,S$9&lt;=$F37),"■","")</f>
      </c>
      <c r="T37" s="0">
        <f>IF(AND(T$9&gt;=$E37,T$9&lt;=$F37),"■","")</f>
      </c>
      <c r="U37" s="0">
        <f>IF(AND(U$9&gt;=$E37,U$9&lt;=$F37),"■","")</f>
      </c>
      <c r="V37" s="0">
        <f>IF(AND(V$9&gt;=$E37,V$9&lt;=$F37),"■","")</f>
      </c>
      <c r="W37" s="0">
        <f>IF(AND(W$9&gt;=$E37,W$9&lt;=$F37),"■","")</f>
      </c>
      <c r="X37" s="0">
        <f>IF(AND(X$9&gt;=$E37,X$9&lt;=$F37),"■","")</f>
      </c>
      <c r="Y37" s="0">
        <f>IF(AND(Y$9&gt;=$E37,Y$9&lt;=$F37),"■","")</f>
      </c>
      <c r="Z37" s="0">
        <f>IF(AND(Z$9&gt;=$E37,Z$9&lt;=$F37),"■","")</f>
      </c>
      <c r="AA37" s="0">
        <f>IF(AND(AA$9&gt;=$E37,AA$9&lt;=$F37),"■","")</f>
      </c>
      <c r="AB37" s="0">
        <f>IF(AND(AB$9&gt;=$E37,AB$9&lt;=$F37),"■","")</f>
      </c>
      <c r="AC37" s="0">
        <f>IF(AND(AC$9&gt;=$E37,AC$9&lt;=$F37),"■","")</f>
      </c>
      <c r="AD37" s="0">
        <f>IF(AND(AD$9&gt;=$E37,AD$9&lt;=$F37),"■","")</f>
      </c>
      <c r="AE37" s="0">
        <f>IF(AND(AE$9&gt;=$E37,AE$9&lt;=$F37),"■","")</f>
      </c>
      <c r="AF37" s="0">
        <f>IF(AND(AF$9&gt;=$E37,AF$9&lt;=$F37),"■","")</f>
      </c>
      <c r="AG37" s="0">
        <f>IF(AND(AG$9&gt;=$E37,AG$9&lt;=$F37),"■","")</f>
      </c>
      <c r="AH37" s="0">
        <f>IF(AND(AH$9&gt;=$E37,AH$9&lt;=$F37),"■","")</f>
      </c>
      <c r="AI37" s="0">
        <f>IF(AND(AI$9&gt;=$E37,AI$9&lt;=$F37),"■","")</f>
      </c>
      <c r="AJ37" s="0">
        <f>IF(AND(AJ$9&gt;=$E37,AJ$9&lt;=$F37),"■","")</f>
      </c>
      <c r="AK37" s="0">
        <f>IF(AND(AK$9&gt;=$E37,AK$9&lt;=$F37),"■","")</f>
      </c>
      <c r="AL37" s="0">
        <f>IF(AND(AL$9&gt;=$E37,AL$9&lt;=$F37),"■","")</f>
      </c>
      <c r="AM37" s="0">
        <f>IF(AND(AM$9&gt;=$E37,AM$9&lt;=$F37),"■","")</f>
      </c>
      <c r="AN37" s="0">
        <f>IF(AND(AN$9&gt;=$E37,AN$9&lt;=$F37),"■","")</f>
      </c>
      <c r="AO37" s="0">
        <f>IF(AND(AO$9&gt;=$E37,AO$9&lt;=$F37),"■","")</f>
      </c>
      <c r="AP37" s="0">
        <f>IF(AND(AP$9&gt;=$E37,AP$9&lt;=$F37),"■","")</f>
      </c>
      <c r="AQ37" s="0">
        <f>IF(AND(AQ$9&gt;=$E37,AQ$9&lt;=$F37),"■","")</f>
      </c>
      <c r="AR37" s="0">
        <f>IF(AND(AR$9&gt;=$E37,AR$9&lt;=$F37),"■","")</f>
      </c>
      <c r="AS37" s="0">
        <f>IF(AND(AS$9&gt;=$E37,AS$9&lt;=$F37),"■","")</f>
      </c>
      <c r="AT37" s="0">
        <f>IF(AND(AT$9&gt;=$E37,AT$9&lt;=$F37),"■","")</f>
      </c>
      <c r="AU37" s="0">
        <f>IF(AND(AU$9&gt;=$E37,AU$9&lt;=$F37),"■","")</f>
      </c>
      <c r="AV37" s="0">
        <f>IF(AND(AV$9&gt;=$E37,AV$9&lt;=$F37),"■","")</f>
      </c>
      <c r="AW37" s="0">
        <f>IF(AND(AW$9&gt;=$E37,AW$9&lt;=$F37),"■","")</f>
      </c>
      <c r="AX37" s="0">
        <f>IF(AND(AX$9&gt;=$E37,AX$9&lt;=$F37),"■","")</f>
      </c>
      <c r="AY37" s="0">
        <f>IF(AND(AY$9&gt;=$E37,AY$9&lt;=$F37),"■","")</f>
      </c>
      <c r="AZ37" s="0">
        <f>IF(AND(AZ$9&gt;=$E37,AZ$9&lt;=$F37),"■","")</f>
      </c>
      <c r="BA37" s="0">
        <f>IF(AND(BA$9&gt;=$E37,BA$9&lt;=$F37),"■","")</f>
      </c>
      <c r="BB37" s="0">
        <f>IF(AND(BB$9&gt;=$E37,BB$9&lt;=$F37),"■","")</f>
      </c>
      <c r="BC37" s="0">
        <f>IF(AND(BC$9&gt;=$E37,BC$9&lt;=$F37),"■","")</f>
      </c>
      <c r="BD37" s="0">
        <f>IF(AND(BD$9&gt;=$E37,BD$9&lt;=$F37),"■","")</f>
      </c>
      <c r="BE37" s="0">
        <f>IF(AND(BE$9&gt;=$E37,BE$9&lt;=$F37),"■","")</f>
      </c>
      <c r="BF37" s="0">
        <f>IF(AND(BF$9&gt;=$E37,BF$9&lt;=$F37),"■","")</f>
      </c>
      <c r="BG37" s="0">
        <f>IF(AND(BG$9&gt;=$E37,BG$9&lt;=$F37),"■","")</f>
      </c>
      <c r="BH37" s="0">
        <f>IF(AND(BH$9&gt;=$E37,BH$9&lt;=$F37),"■","")</f>
      </c>
      <c r="BI37" s="0">
        <f>IF(AND(BI$9&gt;=$E37,BI$9&lt;=$F37),"■","")</f>
      </c>
      <c r="BJ37" s="0">
        <f>IF(AND(BJ$9&gt;=$E37,BJ$9&lt;=$F37),"■","")</f>
      </c>
      <c r="BK37" s="0">
        <f>IF(AND(BK$9&gt;=$E37,BK$9&lt;=$F37),"■","")</f>
      </c>
      <c r="BL37" s="0">
        <f>IF(AND(BL$9&gt;=$E37,BL$9&lt;=$F37),"■","")</f>
      </c>
      <c r="BM37" s="0">
        <f>IF(AND(BM$9&gt;=$E37,BM$9&lt;=$F37),"■","")</f>
      </c>
      <c r="BN37" s="0">
        <f>IF(AND(BN$9&gt;=$E37,BN$9&lt;=$F37),"■","")</f>
      </c>
      <c r="BO37" s="0">
        <f>IF(AND(BO$9&gt;=$E37,BO$9&lt;=$F37),"■","")</f>
      </c>
      <c r="BP37" s="0">
        <f>IF(AND(BP$9&gt;=$E37,BP$9&lt;=$F37),"■","")</f>
      </c>
      <c r="BQ37" s="0">
        <f>IF(AND(BQ$9&gt;=$E37,BQ$9&lt;=$F37),"■","")</f>
      </c>
      <c r="BR37" s="0">
        <f>IF(AND(BR$9&gt;=$E37,BR$9&lt;=$F37),"■","")</f>
      </c>
      <c r="BS37" s="0">
        <f>IF(AND(BS$9&gt;=$E37,BS$9&lt;=$F37),"■","")</f>
      </c>
      <c r="BT37" s="0">
        <f>IF(AND(BT$9&gt;=$E37,BT$9&lt;=$F37),"■","")</f>
      </c>
      <c r="BU37" s="0">
        <f>IF(AND(BU$9&gt;=$E37,BU$9&lt;=$F37),"■","")</f>
      </c>
      <c r="BV37" s="0">
        <f>IF(AND(BV$9&gt;=$E37,BV$9&lt;=$F37),"■","")</f>
      </c>
      <c r="BW37" s="0">
        <f>IF(AND(BW$9&gt;=$E37,BW$9&lt;=$F37),"■","")</f>
      </c>
    </row>
    <row r="38">
      <c r="A38" s="0" t="inlineStr">
        <is>
          <t>P001-028</t>
        </is>
      </c>
      <c r="B38" s="0" t="inlineStr">
        <is>
          <t/>
        </is>
      </c>
      <c r="C38" s="0" t="inlineStr">
        <is>
          <t/>
        </is>
      </c>
      <c r="D38" s="0" t="inlineStr">
        <is>
          <t/>
        </is>
      </c>
      <c r="E38" s="0" t="inlineStr">
        <is>
          <t/>
        </is>
      </c>
      <c r="F38" s="0" t="inlineStr">
        <is>
          <t/>
        </is>
      </c>
      <c r="G38" s="0" t="inlineStr">
        <is>
          <t/>
        </is>
      </c>
      <c r="H38" s="0" t="inlineStr">
        <is>
          <t/>
        </is>
      </c>
      <c r="I38" s="0" t="inlineStr">
        <is>
          <t/>
        </is>
      </c>
      <c r="J38" s="0">
        <f>SUMIFS('Suivi Temps'!$D:$D,'Suivi Temps'!$A:$A,"P001-028")</f>
      </c>
      <c r="K38" s="0" t="inlineStr">
        <is>
          <t/>
        </is>
      </c>
      <c r="L38" s="0" t="inlineStr">
        <is>
          <t/>
        </is>
      </c>
      <c r="M38" s="0" t="inlineStr">
        <is>
          <t/>
        </is>
      </c>
      <c r="N38" s="0" t="inlineStr">
        <is>
          <t/>
        </is>
      </c>
      <c r="O38" s="0" t="inlineStr">
        <is>
          <t/>
        </is>
      </c>
      <c r="P38" s="0">
        <f>IF(AND(P$9&gt;=$E38,P$9&lt;=$F38),"■","")</f>
      </c>
      <c r="Q38" s="0">
        <f>IF(AND(Q$9&gt;=$E38,Q$9&lt;=$F38),"■","")</f>
      </c>
      <c r="R38" s="0">
        <f>IF(AND(R$9&gt;=$E38,R$9&lt;=$F38),"■","")</f>
      </c>
      <c r="S38" s="0">
        <f>IF(AND(S$9&gt;=$E38,S$9&lt;=$F38),"■","")</f>
      </c>
      <c r="T38" s="0">
        <f>IF(AND(T$9&gt;=$E38,T$9&lt;=$F38),"■","")</f>
      </c>
      <c r="U38" s="0">
        <f>IF(AND(U$9&gt;=$E38,U$9&lt;=$F38),"■","")</f>
      </c>
      <c r="V38" s="0">
        <f>IF(AND(V$9&gt;=$E38,V$9&lt;=$F38),"■","")</f>
      </c>
      <c r="W38" s="0">
        <f>IF(AND(W$9&gt;=$E38,W$9&lt;=$F38),"■","")</f>
      </c>
      <c r="X38" s="0">
        <f>IF(AND(X$9&gt;=$E38,X$9&lt;=$F38),"■","")</f>
      </c>
      <c r="Y38" s="0">
        <f>IF(AND(Y$9&gt;=$E38,Y$9&lt;=$F38),"■","")</f>
      </c>
      <c r="Z38" s="0">
        <f>IF(AND(Z$9&gt;=$E38,Z$9&lt;=$F38),"■","")</f>
      </c>
      <c r="AA38" s="0">
        <f>IF(AND(AA$9&gt;=$E38,AA$9&lt;=$F38),"■","")</f>
      </c>
      <c r="AB38" s="0">
        <f>IF(AND(AB$9&gt;=$E38,AB$9&lt;=$F38),"■","")</f>
      </c>
      <c r="AC38" s="0">
        <f>IF(AND(AC$9&gt;=$E38,AC$9&lt;=$F38),"■","")</f>
      </c>
      <c r="AD38" s="0">
        <f>IF(AND(AD$9&gt;=$E38,AD$9&lt;=$F38),"■","")</f>
      </c>
      <c r="AE38" s="0">
        <f>IF(AND(AE$9&gt;=$E38,AE$9&lt;=$F38),"■","")</f>
      </c>
      <c r="AF38" s="0">
        <f>IF(AND(AF$9&gt;=$E38,AF$9&lt;=$F38),"■","")</f>
      </c>
      <c r="AG38" s="0">
        <f>IF(AND(AG$9&gt;=$E38,AG$9&lt;=$F38),"■","")</f>
      </c>
      <c r="AH38" s="0">
        <f>IF(AND(AH$9&gt;=$E38,AH$9&lt;=$F38),"■","")</f>
      </c>
      <c r="AI38" s="0">
        <f>IF(AND(AI$9&gt;=$E38,AI$9&lt;=$F38),"■","")</f>
      </c>
      <c r="AJ38" s="0">
        <f>IF(AND(AJ$9&gt;=$E38,AJ$9&lt;=$F38),"■","")</f>
      </c>
      <c r="AK38" s="0">
        <f>IF(AND(AK$9&gt;=$E38,AK$9&lt;=$F38),"■","")</f>
      </c>
      <c r="AL38" s="0">
        <f>IF(AND(AL$9&gt;=$E38,AL$9&lt;=$F38),"■","")</f>
      </c>
      <c r="AM38" s="0">
        <f>IF(AND(AM$9&gt;=$E38,AM$9&lt;=$F38),"■","")</f>
      </c>
      <c r="AN38" s="0">
        <f>IF(AND(AN$9&gt;=$E38,AN$9&lt;=$F38),"■","")</f>
      </c>
      <c r="AO38" s="0">
        <f>IF(AND(AO$9&gt;=$E38,AO$9&lt;=$F38),"■","")</f>
      </c>
      <c r="AP38" s="0">
        <f>IF(AND(AP$9&gt;=$E38,AP$9&lt;=$F38),"■","")</f>
      </c>
      <c r="AQ38" s="0">
        <f>IF(AND(AQ$9&gt;=$E38,AQ$9&lt;=$F38),"■","")</f>
      </c>
      <c r="AR38" s="0">
        <f>IF(AND(AR$9&gt;=$E38,AR$9&lt;=$F38),"■","")</f>
      </c>
      <c r="AS38" s="0">
        <f>IF(AND(AS$9&gt;=$E38,AS$9&lt;=$F38),"■","")</f>
      </c>
      <c r="AT38" s="0">
        <f>IF(AND(AT$9&gt;=$E38,AT$9&lt;=$F38),"■","")</f>
      </c>
      <c r="AU38" s="0">
        <f>IF(AND(AU$9&gt;=$E38,AU$9&lt;=$F38),"■","")</f>
      </c>
      <c r="AV38" s="0">
        <f>IF(AND(AV$9&gt;=$E38,AV$9&lt;=$F38),"■","")</f>
      </c>
      <c r="AW38" s="0">
        <f>IF(AND(AW$9&gt;=$E38,AW$9&lt;=$F38),"■","")</f>
      </c>
      <c r="AX38" s="0">
        <f>IF(AND(AX$9&gt;=$E38,AX$9&lt;=$F38),"■","")</f>
      </c>
      <c r="AY38" s="0">
        <f>IF(AND(AY$9&gt;=$E38,AY$9&lt;=$F38),"■","")</f>
      </c>
      <c r="AZ38" s="0">
        <f>IF(AND(AZ$9&gt;=$E38,AZ$9&lt;=$F38),"■","")</f>
      </c>
      <c r="BA38" s="0">
        <f>IF(AND(BA$9&gt;=$E38,BA$9&lt;=$F38),"■","")</f>
      </c>
      <c r="BB38" s="0">
        <f>IF(AND(BB$9&gt;=$E38,BB$9&lt;=$F38),"■","")</f>
      </c>
      <c r="BC38" s="0">
        <f>IF(AND(BC$9&gt;=$E38,BC$9&lt;=$F38),"■","")</f>
      </c>
      <c r="BD38" s="0">
        <f>IF(AND(BD$9&gt;=$E38,BD$9&lt;=$F38),"■","")</f>
      </c>
      <c r="BE38" s="0">
        <f>IF(AND(BE$9&gt;=$E38,BE$9&lt;=$F38),"■","")</f>
      </c>
      <c r="BF38" s="0">
        <f>IF(AND(BF$9&gt;=$E38,BF$9&lt;=$F38),"■","")</f>
      </c>
      <c r="BG38" s="0">
        <f>IF(AND(BG$9&gt;=$E38,BG$9&lt;=$F38),"■","")</f>
      </c>
      <c r="BH38" s="0">
        <f>IF(AND(BH$9&gt;=$E38,BH$9&lt;=$F38),"■","")</f>
      </c>
      <c r="BI38" s="0">
        <f>IF(AND(BI$9&gt;=$E38,BI$9&lt;=$F38),"■","")</f>
      </c>
      <c r="BJ38" s="0">
        <f>IF(AND(BJ$9&gt;=$E38,BJ$9&lt;=$F38),"■","")</f>
      </c>
      <c r="BK38" s="0">
        <f>IF(AND(BK$9&gt;=$E38,BK$9&lt;=$F38),"■","")</f>
      </c>
      <c r="BL38" s="0">
        <f>IF(AND(BL$9&gt;=$E38,BL$9&lt;=$F38),"■","")</f>
      </c>
      <c r="BM38" s="0">
        <f>IF(AND(BM$9&gt;=$E38,BM$9&lt;=$F38),"■","")</f>
      </c>
      <c r="BN38" s="0">
        <f>IF(AND(BN$9&gt;=$E38,BN$9&lt;=$F38),"■","")</f>
      </c>
      <c r="BO38" s="0">
        <f>IF(AND(BO$9&gt;=$E38,BO$9&lt;=$F38),"■","")</f>
      </c>
      <c r="BP38" s="0">
        <f>IF(AND(BP$9&gt;=$E38,BP$9&lt;=$F38),"■","")</f>
      </c>
      <c r="BQ38" s="0">
        <f>IF(AND(BQ$9&gt;=$E38,BQ$9&lt;=$F38),"■","")</f>
      </c>
      <c r="BR38" s="0">
        <f>IF(AND(BR$9&gt;=$E38,BR$9&lt;=$F38),"■","")</f>
      </c>
      <c r="BS38" s="0">
        <f>IF(AND(BS$9&gt;=$E38,BS$9&lt;=$F38),"■","")</f>
      </c>
      <c r="BT38" s="0">
        <f>IF(AND(BT$9&gt;=$E38,BT$9&lt;=$F38),"■","")</f>
      </c>
      <c r="BU38" s="0">
        <f>IF(AND(BU$9&gt;=$E38,BU$9&lt;=$F38),"■","")</f>
      </c>
      <c r="BV38" s="0">
        <f>IF(AND(BV$9&gt;=$E38,BV$9&lt;=$F38),"■","")</f>
      </c>
      <c r="BW38" s="0">
        <f>IF(AND(BW$9&gt;=$E38,BW$9&lt;=$F38),"■","")</f>
      </c>
    </row>
    <row r="39">
      <c r="A39" s="0" t="inlineStr">
        <is>
          <t>P001-029</t>
        </is>
      </c>
      <c r="B39" s="0" t="inlineStr">
        <is>
          <t/>
        </is>
      </c>
      <c r="C39" s="0" t="inlineStr">
        <is>
          <t/>
        </is>
      </c>
      <c r="D39" s="0" t="inlineStr">
        <is>
          <t/>
        </is>
      </c>
      <c r="E39" s="0" t="inlineStr">
        <is>
          <t/>
        </is>
      </c>
      <c r="F39" s="0" t="inlineStr">
        <is>
          <t/>
        </is>
      </c>
      <c r="G39" s="0" t="inlineStr">
        <is>
          <t/>
        </is>
      </c>
      <c r="H39" s="0" t="inlineStr">
        <is>
          <t/>
        </is>
      </c>
      <c r="I39" s="0" t="inlineStr">
        <is>
          <t/>
        </is>
      </c>
      <c r="J39" s="0">
        <f>SUMIFS('Suivi Temps'!$D:$D,'Suivi Temps'!$A:$A,"P001-029")</f>
      </c>
      <c r="K39" s="0" t="inlineStr">
        <is>
          <t/>
        </is>
      </c>
      <c r="L39" s="0" t="inlineStr">
        <is>
          <t/>
        </is>
      </c>
      <c r="M39" s="0" t="inlineStr">
        <is>
          <t/>
        </is>
      </c>
      <c r="N39" s="0" t="inlineStr">
        <is>
          <t/>
        </is>
      </c>
      <c r="O39" s="0" t="inlineStr">
        <is>
          <t/>
        </is>
      </c>
      <c r="P39" s="0">
        <f>IF(AND(P$9&gt;=$E39,P$9&lt;=$F39),"■","")</f>
      </c>
      <c r="Q39" s="0">
        <f>IF(AND(Q$9&gt;=$E39,Q$9&lt;=$F39),"■","")</f>
      </c>
      <c r="R39" s="0">
        <f>IF(AND(R$9&gt;=$E39,R$9&lt;=$F39),"■","")</f>
      </c>
      <c r="S39" s="0">
        <f>IF(AND(S$9&gt;=$E39,S$9&lt;=$F39),"■","")</f>
      </c>
      <c r="T39" s="0">
        <f>IF(AND(T$9&gt;=$E39,T$9&lt;=$F39),"■","")</f>
      </c>
      <c r="U39" s="0">
        <f>IF(AND(U$9&gt;=$E39,U$9&lt;=$F39),"■","")</f>
      </c>
      <c r="V39" s="0">
        <f>IF(AND(V$9&gt;=$E39,V$9&lt;=$F39),"■","")</f>
      </c>
      <c r="W39" s="0">
        <f>IF(AND(W$9&gt;=$E39,W$9&lt;=$F39),"■","")</f>
      </c>
      <c r="X39" s="0">
        <f>IF(AND(X$9&gt;=$E39,X$9&lt;=$F39),"■","")</f>
      </c>
      <c r="Y39" s="0">
        <f>IF(AND(Y$9&gt;=$E39,Y$9&lt;=$F39),"■","")</f>
      </c>
      <c r="Z39" s="0">
        <f>IF(AND(Z$9&gt;=$E39,Z$9&lt;=$F39),"■","")</f>
      </c>
      <c r="AA39" s="0">
        <f>IF(AND(AA$9&gt;=$E39,AA$9&lt;=$F39),"■","")</f>
      </c>
      <c r="AB39" s="0">
        <f>IF(AND(AB$9&gt;=$E39,AB$9&lt;=$F39),"■","")</f>
      </c>
      <c r="AC39" s="0">
        <f>IF(AND(AC$9&gt;=$E39,AC$9&lt;=$F39),"■","")</f>
      </c>
      <c r="AD39" s="0">
        <f>IF(AND(AD$9&gt;=$E39,AD$9&lt;=$F39),"■","")</f>
      </c>
      <c r="AE39" s="0">
        <f>IF(AND(AE$9&gt;=$E39,AE$9&lt;=$F39),"■","")</f>
      </c>
      <c r="AF39" s="0">
        <f>IF(AND(AF$9&gt;=$E39,AF$9&lt;=$F39),"■","")</f>
      </c>
      <c r="AG39" s="0">
        <f>IF(AND(AG$9&gt;=$E39,AG$9&lt;=$F39),"■","")</f>
      </c>
      <c r="AH39" s="0">
        <f>IF(AND(AH$9&gt;=$E39,AH$9&lt;=$F39),"■","")</f>
      </c>
      <c r="AI39" s="0">
        <f>IF(AND(AI$9&gt;=$E39,AI$9&lt;=$F39),"■","")</f>
      </c>
      <c r="AJ39" s="0">
        <f>IF(AND(AJ$9&gt;=$E39,AJ$9&lt;=$F39),"■","")</f>
      </c>
      <c r="AK39" s="0">
        <f>IF(AND(AK$9&gt;=$E39,AK$9&lt;=$F39),"■","")</f>
      </c>
      <c r="AL39" s="0">
        <f>IF(AND(AL$9&gt;=$E39,AL$9&lt;=$F39),"■","")</f>
      </c>
      <c r="AM39" s="0">
        <f>IF(AND(AM$9&gt;=$E39,AM$9&lt;=$F39),"■","")</f>
      </c>
      <c r="AN39" s="0">
        <f>IF(AND(AN$9&gt;=$E39,AN$9&lt;=$F39),"■","")</f>
      </c>
      <c r="AO39" s="0">
        <f>IF(AND(AO$9&gt;=$E39,AO$9&lt;=$F39),"■","")</f>
      </c>
      <c r="AP39" s="0">
        <f>IF(AND(AP$9&gt;=$E39,AP$9&lt;=$F39),"■","")</f>
      </c>
      <c r="AQ39" s="0">
        <f>IF(AND(AQ$9&gt;=$E39,AQ$9&lt;=$F39),"■","")</f>
      </c>
      <c r="AR39" s="0">
        <f>IF(AND(AR$9&gt;=$E39,AR$9&lt;=$F39),"■","")</f>
      </c>
      <c r="AS39" s="0">
        <f>IF(AND(AS$9&gt;=$E39,AS$9&lt;=$F39),"■","")</f>
      </c>
      <c r="AT39" s="0">
        <f>IF(AND(AT$9&gt;=$E39,AT$9&lt;=$F39),"■","")</f>
      </c>
      <c r="AU39" s="0">
        <f>IF(AND(AU$9&gt;=$E39,AU$9&lt;=$F39),"■","")</f>
      </c>
      <c r="AV39" s="0">
        <f>IF(AND(AV$9&gt;=$E39,AV$9&lt;=$F39),"■","")</f>
      </c>
      <c r="AW39" s="0">
        <f>IF(AND(AW$9&gt;=$E39,AW$9&lt;=$F39),"■","")</f>
      </c>
      <c r="AX39" s="0">
        <f>IF(AND(AX$9&gt;=$E39,AX$9&lt;=$F39),"■","")</f>
      </c>
      <c r="AY39" s="0">
        <f>IF(AND(AY$9&gt;=$E39,AY$9&lt;=$F39),"■","")</f>
      </c>
      <c r="AZ39" s="0">
        <f>IF(AND(AZ$9&gt;=$E39,AZ$9&lt;=$F39),"■","")</f>
      </c>
      <c r="BA39" s="0">
        <f>IF(AND(BA$9&gt;=$E39,BA$9&lt;=$F39),"■","")</f>
      </c>
      <c r="BB39" s="0">
        <f>IF(AND(BB$9&gt;=$E39,BB$9&lt;=$F39),"■","")</f>
      </c>
      <c r="BC39" s="0">
        <f>IF(AND(BC$9&gt;=$E39,BC$9&lt;=$F39),"■","")</f>
      </c>
      <c r="BD39" s="0">
        <f>IF(AND(BD$9&gt;=$E39,BD$9&lt;=$F39),"■","")</f>
      </c>
      <c r="BE39" s="0">
        <f>IF(AND(BE$9&gt;=$E39,BE$9&lt;=$F39),"■","")</f>
      </c>
      <c r="BF39" s="0">
        <f>IF(AND(BF$9&gt;=$E39,BF$9&lt;=$F39),"■","")</f>
      </c>
      <c r="BG39" s="0">
        <f>IF(AND(BG$9&gt;=$E39,BG$9&lt;=$F39),"■","")</f>
      </c>
      <c r="BH39" s="0">
        <f>IF(AND(BH$9&gt;=$E39,BH$9&lt;=$F39),"■","")</f>
      </c>
      <c r="BI39" s="0">
        <f>IF(AND(BI$9&gt;=$E39,BI$9&lt;=$F39),"■","")</f>
      </c>
      <c r="BJ39" s="0">
        <f>IF(AND(BJ$9&gt;=$E39,BJ$9&lt;=$F39),"■","")</f>
      </c>
      <c r="BK39" s="0">
        <f>IF(AND(BK$9&gt;=$E39,BK$9&lt;=$F39),"■","")</f>
      </c>
      <c r="BL39" s="0">
        <f>IF(AND(BL$9&gt;=$E39,BL$9&lt;=$F39),"■","")</f>
      </c>
      <c r="BM39" s="0">
        <f>IF(AND(BM$9&gt;=$E39,BM$9&lt;=$F39),"■","")</f>
      </c>
      <c r="BN39" s="0">
        <f>IF(AND(BN$9&gt;=$E39,BN$9&lt;=$F39),"■","")</f>
      </c>
      <c r="BO39" s="0">
        <f>IF(AND(BO$9&gt;=$E39,BO$9&lt;=$F39),"■","")</f>
      </c>
      <c r="BP39" s="0">
        <f>IF(AND(BP$9&gt;=$E39,BP$9&lt;=$F39),"■","")</f>
      </c>
      <c r="BQ39" s="0">
        <f>IF(AND(BQ$9&gt;=$E39,BQ$9&lt;=$F39),"■","")</f>
      </c>
      <c r="BR39" s="0">
        <f>IF(AND(BR$9&gt;=$E39,BR$9&lt;=$F39),"■","")</f>
      </c>
      <c r="BS39" s="0">
        <f>IF(AND(BS$9&gt;=$E39,BS$9&lt;=$F39),"■","")</f>
      </c>
      <c r="BT39" s="0">
        <f>IF(AND(BT$9&gt;=$E39,BT$9&lt;=$F39),"■","")</f>
      </c>
      <c r="BU39" s="0">
        <f>IF(AND(BU$9&gt;=$E39,BU$9&lt;=$F39),"■","")</f>
      </c>
      <c r="BV39" s="0">
        <f>IF(AND(BV$9&gt;=$E39,BV$9&lt;=$F39),"■","")</f>
      </c>
      <c r="BW39" s="0">
        <f>IF(AND(BW$9&gt;=$E39,BW$9&lt;=$F39),"■","")</f>
      </c>
    </row>
    <row r="40">
      <c r="A40" s="0" t="inlineStr">
        <is>
          <t>P001-030</t>
        </is>
      </c>
      <c r="B40" s="0" t="inlineStr">
        <is>
          <t/>
        </is>
      </c>
      <c r="C40" s="0" t="inlineStr">
        <is>
          <t/>
        </is>
      </c>
      <c r="D40" s="0" t="inlineStr">
        <is>
          <t/>
        </is>
      </c>
      <c r="E40" s="0" t="inlineStr">
        <is>
          <t/>
        </is>
      </c>
      <c r="F40" s="0" t="inlineStr">
        <is>
          <t/>
        </is>
      </c>
      <c r="G40" s="0" t="inlineStr">
        <is>
          <t/>
        </is>
      </c>
      <c r="H40" s="0" t="inlineStr">
        <is>
          <t/>
        </is>
      </c>
      <c r="I40" s="0" t="inlineStr">
        <is>
          <t/>
        </is>
      </c>
      <c r="J40" s="0">
        <f>SUMIFS('Suivi Temps'!$D:$D,'Suivi Temps'!$A:$A,"P001-030")</f>
      </c>
      <c r="K40" s="0" t="inlineStr">
        <is>
          <t/>
        </is>
      </c>
      <c r="L40" s="0" t="inlineStr">
        <is>
          <t/>
        </is>
      </c>
      <c r="M40" s="0" t="inlineStr">
        <is>
          <t/>
        </is>
      </c>
      <c r="N40" s="0" t="inlineStr">
        <is>
          <t/>
        </is>
      </c>
      <c r="O40" s="0" t="inlineStr">
        <is>
          <t/>
        </is>
      </c>
      <c r="P40" s="0">
        <f>IF(AND(P$9&gt;=$E40,P$9&lt;=$F40),"■","")</f>
      </c>
      <c r="Q40" s="0">
        <f>IF(AND(Q$9&gt;=$E40,Q$9&lt;=$F40),"■","")</f>
      </c>
      <c r="R40" s="0">
        <f>IF(AND(R$9&gt;=$E40,R$9&lt;=$F40),"■","")</f>
      </c>
      <c r="S40" s="0">
        <f>IF(AND(S$9&gt;=$E40,S$9&lt;=$F40),"■","")</f>
      </c>
      <c r="T40" s="0">
        <f>IF(AND(T$9&gt;=$E40,T$9&lt;=$F40),"■","")</f>
      </c>
      <c r="U40" s="0">
        <f>IF(AND(U$9&gt;=$E40,U$9&lt;=$F40),"■","")</f>
      </c>
      <c r="V40" s="0">
        <f>IF(AND(V$9&gt;=$E40,V$9&lt;=$F40),"■","")</f>
      </c>
      <c r="W40" s="0">
        <f>IF(AND(W$9&gt;=$E40,W$9&lt;=$F40),"■","")</f>
      </c>
      <c r="X40" s="0">
        <f>IF(AND(X$9&gt;=$E40,X$9&lt;=$F40),"■","")</f>
      </c>
      <c r="Y40" s="0">
        <f>IF(AND(Y$9&gt;=$E40,Y$9&lt;=$F40),"■","")</f>
      </c>
      <c r="Z40" s="0">
        <f>IF(AND(Z$9&gt;=$E40,Z$9&lt;=$F40),"■","")</f>
      </c>
      <c r="AA40" s="0">
        <f>IF(AND(AA$9&gt;=$E40,AA$9&lt;=$F40),"■","")</f>
      </c>
      <c r="AB40" s="0">
        <f>IF(AND(AB$9&gt;=$E40,AB$9&lt;=$F40),"■","")</f>
      </c>
      <c r="AC40" s="0">
        <f>IF(AND(AC$9&gt;=$E40,AC$9&lt;=$F40),"■","")</f>
      </c>
      <c r="AD40" s="0">
        <f>IF(AND(AD$9&gt;=$E40,AD$9&lt;=$F40),"■","")</f>
      </c>
      <c r="AE40" s="0">
        <f>IF(AND(AE$9&gt;=$E40,AE$9&lt;=$F40),"■","")</f>
      </c>
      <c r="AF40" s="0">
        <f>IF(AND(AF$9&gt;=$E40,AF$9&lt;=$F40),"■","")</f>
      </c>
      <c r="AG40" s="0">
        <f>IF(AND(AG$9&gt;=$E40,AG$9&lt;=$F40),"■","")</f>
      </c>
      <c r="AH40" s="0">
        <f>IF(AND(AH$9&gt;=$E40,AH$9&lt;=$F40),"■","")</f>
      </c>
      <c r="AI40" s="0">
        <f>IF(AND(AI$9&gt;=$E40,AI$9&lt;=$F40),"■","")</f>
      </c>
      <c r="AJ40" s="0">
        <f>IF(AND(AJ$9&gt;=$E40,AJ$9&lt;=$F40),"■","")</f>
      </c>
      <c r="AK40" s="0">
        <f>IF(AND(AK$9&gt;=$E40,AK$9&lt;=$F40),"■","")</f>
      </c>
      <c r="AL40" s="0">
        <f>IF(AND(AL$9&gt;=$E40,AL$9&lt;=$F40),"■","")</f>
      </c>
      <c r="AM40" s="0">
        <f>IF(AND(AM$9&gt;=$E40,AM$9&lt;=$F40),"■","")</f>
      </c>
      <c r="AN40" s="0">
        <f>IF(AND(AN$9&gt;=$E40,AN$9&lt;=$F40),"■","")</f>
      </c>
      <c r="AO40" s="0">
        <f>IF(AND(AO$9&gt;=$E40,AO$9&lt;=$F40),"■","")</f>
      </c>
      <c r="AP40" s="0">
        <f>IF(AND(AP$9&gt;=$E40,AP$9&lt;=$F40),"■","")</f>
      </c>
      <c r="AQ40" s="0">
        <f>IF(AND(AQ$9&gt;=$E40,AQ$9&lt;=$F40),"■","")</f>
      </c>
      <c r="AR40" s="0">
        <f>IF(AND(AR$9&gt;=$E40,AR$9&lt;=$F40),"■","")</f>
      </c>
      <c r="AS40" s="0">
        <f>IF(AND(AS$9&gt;=$E40,AS$9&lt;=$F40),"■","")</f>
      </c>
      <c r="AT40" s="0">
        <f>IF(AND(AT$9&gt;=$E40,AT$9&lt;=$F40),"■","")</f>
      </c>
      <c r="AU40" s="0">
        <f>IF(AND(AU$9&gt;=$E40,AU$9&lt;=$F40),"■","")</f>
      </c>
      <c r="AV40" s="0">
        <f>IF(AND(AV$9&gt;=$E40,AV$9&lt;=$F40),"■","")</f>
      </c>
      <c r="AW40" s="0">
        <f>IF(AND(AW$9&gt;=$E40,AW$9&lt;=$F40),"■","")</f>
      </c>
      <c r="AX40" s="0">
        <f>IF(AND(AX$9&gt;=$E40,AX$9&lt;=$F40),"■","")</f>
      </c>
      <c r="AY40" s="0">
        <f>IF(AND(AY$9&gt;=$E40,AY$9&lt;=$F40),"■","")</f>
      </c>
      <c r="AZ40" s="0">
        <f>IF(AND(AZ$9&gt;=$E40,AZ$9&lt;=$F40),"■","")</f>
      </c>
      <c r="BA40" s="0">
        <f>IF(AND(BA$9&gt;=$E40,BA$9&lt;=$F40),"■","")</f>
      </c>
      <c r="BB40" s="0">
        <f>IF(AND(BB$9&gt;=$E40,BB$9&lt;=$F40),"■","")</f>
      </c>
      <c r="BC40" s="0">
        <f>IF(AND(BC$9&gt;=$E40,BC$9&lt;=$F40),"■","")</f>
      </c>
      <c r="BD40" s="0">
        <f>IF(AND(BD$9&gt;=$E40,BD$9&lt;=$F40),"■","")</f>
      </c>
      <c r="BE40" s="0">
        <f>IF(AND(BE$9&gt;=$E40,BE$9&lt;=$F40),"■","")</f>
      </c>
      <c r="BF40" s="0">
        <f>IF(AND(BF$9&gt;=$E40,BF$9&lt;=$F40),"■","")</f>
      </c>
      <c r="BG40" s="0">
        <f>IF(AND(BG$9&gt;=$E40,BG$9&lt;=$F40),"■","")</f>
      </c>
      <c r="BH40" s="0">
        <f>IF(AND(BH$9&gt;=$E40,BH$9&lt;=$F40),"■","")</f>
      </c>
      <c r="BI40" s="0">
        <f>IF(AND(BI$9&gt;=$E40,BI$9&lt;=$F40),"■","")</f>
      </c>
      <c r="BJ40" s="0">
        <f>IF(AND(BJ$9&gt;=$E40,BJ$9&lt;=$F40),"■","")</f>
      </c>
      <c r="BK40" s="0">
        <f>IF(AND(BK$9&gt;=$E40,BK$9&lt;=$F40),"■","")</f>
      </c>
      <c r="BL40" s="0">
        <f>IF(AND(BL$9&gt;=$E40,BL$9&lt;=$F40),"■","")</f>
      </c>
      <c r="BM40" s="0">
        <f>IF(AND(BM$9&gt;=$E40,BM$9&lt;=$F40),"■","")</f>
      </c>
      <c r="BN40" s="0">
        <f>IF(AND(BN$9&gt;=$E40,BN$9&lt;=$F40),"■","")</f>
      </c>
      <c r="BO40" s="0">
        <f>IF(AND(BO$9&gt;=$E40,BO$9&lt;=$F40),"■","")</f>
      </c>
      <c r="BP40" s="0">
        <f>IF(AND(BP$9&gt;=$E40,BP$9&lt;=$F40),"■","")</f>
      </c>
      <c r="BQ40" s="0">
        <f>IF(AND(BQ$9&gt;=$E40,BQ$9&lt;=$F40),"■","")</f>
      </c>
      <c r="BR40" s="0">
        <f>IF(AND(BR$9&gt;=$E40,BR$9&lt;=$F40),"■","")</f>
      </c>
      <c r="BS40" s="0">
        <f>IF(AND(BS$9&gt;=$E40,BS$9&lt;=$F40),"■","")</f>
      </c>
      <c r="BT40" s="0">
        <f>IF(AND(BT$9&gt;=$E40,BT$9&lt;=$F40),"■","")</f>
      </c>
      <c r="BU40" s="0">
        <f>IF(AND(BU$9&gt;=$E40,BU$9&lt;=$F40),"■","")</f>
      </c>
      <c r="BV40" s="0">
        <f>IF(AND(BV$9&gt;=$E40,BV$9&lt;=$F40),"■","")</f>
      </c>
      <c r="BW40" s="0">
        <f>IF(AND(BW$9&gt;=$E40,BW$9&lt;=$F40),"■","")</f>
      </c>
    </row>
    <row r="41">
      <c r="A41" s="0" t="inlineStr">
        <is>
          <t>P001-031</t>
        </is>
      </c>
      <c r="B41" s="0" t="inlineStr">
        <is>
          <t/>
        </is>
      </c>
      <c r="C41" s="0" t="inlineStr">
        <is>
          <t/>
        </is>
      </c>
      <c r="D41" s="0" t="inlineStr">
        <is>
          <t/>
        </is>
      </c>
      <c r="E41" s="0" t="inlineStr">
        <is>
          <t/>
        </is>
      </c>
      <c r="F41" s="0" t="inlineStr">
        <is>
          <t/>
        </is>
      </c>
      <c r="G41" s="0" t="inlineStr">
        <is>
          <t/>
        </is>
      </c>
      <c r="H41" s="0" t="inlineStr">
        <is>
          <t/>
        </is>
      </c>
      <c r="I41" s="0" t="inlineStr">
        <is>
          <t/>
        </is>
      </c>
      <c r="J41" s="0">
        <f>SUMIFS('Suivi Temps'!$D:$D,'Suivi Temps'!$A:$A,"P001-031")</f>
      </c>
      <c r="K41" s="0" t="inlineStr">
        <is>
          <t/>
        </is>
      </c>
      <c r="L41" s="0" t="inlineStr">
        <is>
          <t/>
        </is>
      </c>
      <c r="M41" s="0" t="inlineStr">
        <is>
          <t/>
        </is>
      </c>
      <c r="N41" s="0" t="inlineStr">
        <is>
          <t/>
        </is>
      </c>
      <c r="O41" s="0" t="inlineStr">
        <is>
          <t/>
        </is>
      </c>
      <c r="P41" s="0">
        <f>IF(AND(P$9&gt;=$E41,P$9&lt;=$F41),"■","")</f>
      </c>
      <c r="Q41" s="0">
        <f>IF(AND(Q$9&gt;=$E41,Q$9&lt;=$F41),"■","")</f>
      </c>
      <c r="R41" s="0">
        <f>IF(AND(R$9&gt;=$E41,R$9&lt;=$F41),"■","")</f>
      </c>
      <c r="S41" s="0">
        <f>IF(AND(S$9&gt;=$E41,S$9&lt;=$F41),"■","")</f>
      </c>
      <c r="T41" s="0">
        <f>IF(AND(T$9&gt;=$E41,T$9&lt;=$F41),"■","")</f>
      </c>
      <c r="U41" s="0">
        <f>IF(AND(U$9&gt;=$E41,U$9&lt;=$F41),"■","")</f>
      </c>
      <c r="V41" s="0">
        <f>IF(AND(V$9&gt;=$E41,V$9&lt;=$F41),"■","")</f>
      </c>
      <c r="W41" s="0">
        <f>IF(AND(W$9&gt;=$E41,W$9&lt;=$F41),"■","")</f>
      </c>
      <c r="X41" s="0">
        <f>IF(AND(X$9&gt;=$E41,X$9&lt;=$F41),"■","")</f>
      </c>
      <c r="Y41" s="0">
        <f>IF(AND(Y$9&gt;=$E41,Y$9&lt;=$F41),"■","")</f>
      </c>
      <c r="Z41" s="0">
        <f>IF(AND(Z$9&gt;=$E41,Z$9&lt;=$F41),"■","")</f>
      </c>
      <c r="AA41" s="0">
        <f>IF(AND(AA$9&gt;=$E41,AA$9&lt;=$F41),"■","")</f>
      </c>
      <c r="AB41" s="0">
        <f>IF(AND(AB$9&gt;=$E41,AB$9&lt;=$F41),"■","")</f>
      </c>
      <c r="AC41" s="0">
        <f>IF(AND(AC$9&gt;=$E41,AC$9&lt;=$F41),"■","")</f>
      </c>
      <c r="AD41" s="0">
        <f>IF(AND(AD$9&gt;=$E41,AD$9&lt;=$F41),"■","")</f>
      </c>
      <c r="AE41" s="0">
        <f>IF(AND(AE$9&gt;=$E41,AE$9&lt;=$F41),"■","")</f>
      </c>
      <c r="AF41" s="0">
        <f>IF(AND(AF$9&gt;=$E41,AF$9&lt;=$F41),"■","")</f>
      </c>
      <c r="AG41" s="0">
        <f>IF(AND(AG$9&gt;=$E41,AG$9&lt;=$F41),"■","")</f>
      </c>
      <c r="AH41" s="0">
        <f>IF(AND(AH$9&gt;=$E41,AH$9&lt;=$F41),"■","")</f>
      </c>
      <c r="AI41" s="0">
        <f>IF(AND(AI$9&gt;=$E41,AI$9&lt;=$F41),"■","")</f>
      </c>
      <c r="AJ41" s="0">
        <f>IF(AND(AJ$9&gt;=$E41,AJ$9&lt;=$F41),"■","")</f>
      </c>
      <c r="AK41" s="0">
        <f>IF(AND(AK$9&gt;=$E41,AK$9&lt;=$F41),"■","")</f>
      </c>
      <c r="AL41" s="0">
        <f>IF(AND(AL$9&gt;=$E41,AL$9&lt;=$F41),"■","")</f>
      </c>
      <c r="AM41" s="0">
        <f>IF(AND(AM$9&gt;=$E41,AM$9&lt;=$F41),"■","")</f>
      </c>
      <c r="AN41" s="0">
        <f>IF(AND(AN$9&gt;=$E41,AN$9&lt;=$F41),"■","")</f>
      </c>
      <c r="AO41" s="0">
        <f>IF(AND(AO$9&gt;=$E41,AO$9&lt;=$F41),"■","")</f>
      </c>
      <c r="AP41" s="0">
        <f>IF(AND(AP$9&gt;=$E41,AP$9&lt;=$F41),"■","")</f>
      </c>
      <c r="AQ41" s="0">
        <f>IF(AND(AQ$9&gt;=$E41,AQ$9&lt;=$F41),"■","")</f>
      </c>
      <c r="AR41" s="0">
        <f>IF(AND(AR$9&gt;=$E41,AR$9&lt;=$F41),"■","")</f>
      </c>
      <c r="AS41" s="0">
        <f>IF(AND(AS$9&gt;=$E41,AS$9&lt;=$F41),"■","")</f>
      </c>
      <c r="AT41" s="0">
        <f>IF(AND(AT$9&gt;=$E41,AT$9&lt;=$F41),"■","")</f>
      </c>
      <c r="AU41" s="0">
        <f>IF(AND(AU$9&gt;=$E41,AU$9&lt;=$F41),"■","")</f>
      </c>
      <c r="AV41" s="0">
        <f>IF(AND(AV$9&gt;=$E41,AV$9&lt;=$F41),"■","")</f>
      </c>
      <c r="AW41" s="0">
        <f>IF(AND(AW$9&gt;=$E41,AW$9&lt;=$F41),"■","")</f>
      </c>
      <c r="AX41" s="0">
        <f>IF(AND(AX$9&gt;=$E41,AX$9&lt;=$F41),"■","")</f>
      </c>
      <c r="AY41" s="0">
        <f>IF(AND(AY$9&gt;=$E41,AY$9&lt;=$F41),"■","")</f>
      </c>
      <c r="AZ41" s="0">
        <f>IF(AND(AZ$9&gt;=$E41,AZ$9&lt;=$F41),"■","")</f>
      </c>
      <c r="BA41" s="0">
        <f>IF(AND(BA$9&gt;=$E41,BA$9&lt;=$F41),"■","")</f>
      </c>
      <c r="BB41" s="0">
        <f>IF(AND(BB$9&gt;=$E41,BB$9&lt;=$F41),"■","")</f>
      </c>
      <c r="BC41" s="0">
        <f>IF(AND(BC$9&gt;=$E41,BC$9&lt;=$F41),"■","")</f>
      </c>
      <c r="BD41" s="0">
        <f>IF(AND(BD$9&gt;=$E41,BD$9&lt;=$F41),"■","")</f>
      </c>
      <c r="BE41" s="0">
        <f>IF(AND(BE$9&gt;=$E41,BE$9&lt;=$F41),"■","")</f>
      </c>
      <c r="BF41" s="0">
        <f>IF(AND(BF$9&gt;=$E41,BF$9&lt;=$F41),"■","")</f>
      </c>
      <c r="BG41" s="0">
        <f>IF(AND(BG$9&gt;=$E41,BG$9&lt;=$F41),"■","")</f>
      </c>
      <c r="BH41" s="0">
        <f>IF(AND(BH$9&gt;=$E41,BH$9&lt;=$F41),"■","")</f>
      </c>
      <c r="BI41" s="0">
        <f>IF(AND(BI$9&gt;=$E41,BI$9&lt;=$F41),"■","")</f>
      </c>
      <c r="BJ41" s="0">
        <f>IF(AND(BJ$9&gt;=$E41,BJ$9&lt;=$F41),"■","")</f>
      </c>
      <c r="BK41" s="0">
        <f>IF(AND(BK$9&gt;=$E41,BK$9&lt;=$F41),"■","")</f>
      </c>
      <c r="BL41" s="0">
        <f>IF(AND(BL$9&gt;=$E41,BL$9&lt;=$F41),"■","")</f>
      </c>
      <c r="BM41" s="0">
        <f>IF(AND(BM$9&gt;=$E41,BM$9&lt;=$F41),"■","")</f>
      </c>
      <c r="BN41" s="0">
        <f>IF(AND(BN$9&gt;=$E41,BN$9&lt;=$F41),"■","")</f>
      </c>
      <c r="BO41" s="0">
        <f>IF(AND(BO$9&gt;=$E41,BO$9&lt;=$F41),"■","")</f>
      </c>
      <c r="BP41" s="0">
        <f>IF(AND(BP$9&gt;=$E41,BP$9&lt;=$F41),"■","")</f>
      </c>
      <c r="BQ41" s="0">
        <f>IF(AND(BQ$9&gt;=$E41,BQ$9&lt;=$F41),"■","")</f>
      </c>
      <c r="BR41" s="0">
        <f>IF(AND(BR$9&gt;=$E41,BR$9&lt;=$F41),"■","")</f>
      </c>
      <c r="BS41" s="0">
        <f>IF(AND(BS$9&gt;=$E41,BS$9&lt;=$F41),"■","")</f>
      </c>
      <c r="BT41" s="0">
        <f>IF(AND(BT$9&gt;=$E41,BT$9&lt;=$F41),"■","")</f>
      </c>
      <c r="BU41" s="0">
        <f>IF(AND(BU$9&gt;=$E41,BU$9&lt;=$F41),"■","")</f>
      </c>
      <c r="BV41" s="0">
        <f>IF(AND(BV$9&gt;=$E41,BV$9&lt;=$F41),"■","")</f>
      </c>
      <c r="BW41" s="0">
        <f>IF(AND(BW$9&gt;=$E41,BW$9&lt;=$F41),"■","")</f>
      </c>
    </row>
    <row r="42">
      <c r="A42" s="0" t="inlineStr">
        <is>
          <t>P001-032</t>
        </is>
      </c>
      <c r="B42" s="0" t="inlineStr">
        <is>
          <t/>
        </is>
      </c>
      <c r="C42" s="0" t="inlineStr">
        <is>
          <t/>
        </is>
      </c>
      <c r="D42" s="0" t="inlineStr">
        <is>
          <t/>
        </is>
      </c>
      <c r="E42" s="0" t="inlineStr">
        <is>
          <t/>
        </is>
      </c>
      <c r="F42" s="0" t="inlineStr">
        <is>
          <t/>
        </is>
      </c>
      <c r="G42" s="0" t="inlineStr">
        <is>
          <t/>
        </is>
      </c>
      <c r="H42" s="0" t="inlineStr">
        <is>
          <t/>
        </is>
      </c>
      <c r="I42" s="0" t="inlineStr">
        <is>
          <t/>
        </is>
      </c>
      <c r="J42" s="0">
        <f>SUMIFS('Suivi Temps'!$D:$D,'Suivi Temps'!$A:$A,"P001-032")</f>
      </c>
      <c r="K42" s="0" t="inlineStr">
        <is>
          <t/>
        </is>
      </c>
      <c r="L42" s="0" t="inlineStr">
        <is>
          <t/>
        </is>
      </c>
      <c r="M42" s="0" t="inlineStr">
        <is>
          <t/>
        </is>
      </c>
      <c r="N42" s="0" t="inlineStr">
        <is>
          <t/>
        </is>
      </c>
      <c r="O42" s="0" t="inlineStr">
        <is>
          <t/>
        </is>
      </c>
      <c r="P42" s="0">
        <f>IF(AND(P$9&gt;=$E42,P$9&lt;=$F42),"■","")</f>
      </c>
      <c r="Q42" s="0">
        <f>IF(AND(Q$9&gt;=$E42,Q$9&lt;=$F42),"■","")</f>
      </c>
      <c r="R42" s="0">
        <f>IF(AND(R$9&gt;=$E42,R$9&lt;=$F42),"■","")</f>
      </c>
      <c r="S42" s="0">
        <f>IF(AND(S$9&gt;=$E42,S$9&lt;=$F42),"■","")</f>
      </c>
      <c r="T42" s="0">
        <f>IF(AND(T$9&gt;=$E42,T$9&lt;=$F42),"■","")</f>
      </c>
      <c r="U42" s="0">
        <f>IF(AND(U$9&gt;=$E42,U$9&lt;=$F42),"■","")</f>
      </c>
      <c r="V42" s="0">
        <f>IF(AND(V$9&gt;=$E42,V$9&lt;=$F42),"■","")</f>
      </c>
      <c r="W42" s="0">
        <f>IF(AND(W$9&gt;=$E42,W$9&lt;=$F42),"■","")</f>
      </c>
      <c r="X42" s="0">
        <f>IF(AND(X$9&gt;=$E42,X$9&lt;=$F42),"■","")</f>
      </c>
      <c r="Y42" s="0">
        <f>IF(AND(Y$9&gt;=$E42,Y$9&lt;=$F42),"■","")</f>
      </c>
      <c r="Z42" s="0">
        <f>IF(AND(Z$9&gt;=$E42,Z$9&lt;=$F42),"■","")</f>
      </c>
      <c r="AA42" s="0">
        <f>IF(AND(AA$9&gt;=$E42,AA$9&lt;=$F42),"■","")</f>
      </c>
      <c r="AB42" s="0">
        <f>IF(AND(AB$9&gt;=$E42,AB$9&lt;=$F42),"■","")</f>
      </c>
      <c r="AC42" s="0">
        <f>IF(AND(AC$9&gt;=$E42,AC$9&lt;=$F42),"■","")</f>
      </c>
      <c r="AD42" s="0">
        <f>IF(AND(AD$9&gt;=$E42,AD$9&lt;=$F42),"■","")</f>
      </c>
      <c r="AE42" s="0">
        <f>IF(AND(AE$9&gt;=$E42,AE$9&lt;=$F42),"■","")</f>
      </c>
      <c r="AF42" s="0">
        <f>IF(AND(AF$9&gt;=$E42,AF$9&lt;=$F42),"■","")</f>
      </c>
      <c r="AG42" s="0">
        <f>IF(AND(AG$9&gt;=$E42,AG$9&lt;=$F42),"■","")</f>
      </c>
      <c r="AH42" s="0">
        <f>IF(AND(AH$9&gt;=$E42,AH$9&lt;=$F42),"■","")</f>
      </c>
      <c r="AI42" s="0">
        <f>IF(AND(AI$9&gt;=$E42,AI$9&lt;=$F42),"■","")</f>
      </c>
      <c r="AJ42" s="0">
        <f>IF(AND(AJ$9&gt;=$E42,AJ$9&lt;=$F42),"■","")</f>
      </c>
      <c r="AK42" s="0">
        <f>IF(AND(AK$9&gt;=$E42,AK$9&lt;=$F42),"■","")</f>
      </c>
      <c r="AL42" s="0">
        <f>IF(AND(AL$9&gt;=$E42,AL$9&lt;=$F42),"■","")</f>
      </c>
      <c r="AM42" s="0">
        <f>IF(AND(AM$9&gt;=$E42,AM$9&lt;=$F42),"■","")</f>
      </c>
      <c r="AN42" s="0">
        <f>IF(AND(AN$9&gt;=$E42,AN$9&lt;=$F42),"■","")</f>
      </c>
      <c r="AO42" s="0">
        <f>IF(AND(AO$9&gt;=$E42,AO$9&lt;=$F42),"■","")</f>
      </c>
      <c r="AP42" s="0">
        <f>IF(AND(AP$9&gt;=$E42,AP$9&lt;=$F42),"■","")</f>
      </c>
      <c r="AQ42" s="0">
        <f>IF(AND(AQ$9&gt;=$E42,AQ$9&lt;=$F42),"■","")</f>
      </c>
      <c r="AR42" s="0">
        <f>IF(AND(AR$9&gt;=$E42,AR$9&lt;=$F42),"■","")</f>
      </c>
      <c r="AS42" s="0">
        <f>IF(AND(AS$9&gt;=$E42,AS$9&lt;=$F42),"■","")</f>
      </c>
      <c r="AT42" s="0">
        <f>IF(AND(AT$9&gt;=$E42,AT$9&lt;=$F42),"■","")</f>
      </c>
      <c r="AU42" s="0">
        <f>IF(AND(AU$9&gt;=$E42,AU$9&lt;=$F42),"■","")</f>
      </c>
      <c r="AV42" s="0">
        <f>IF(AND(AV$9&gt;=$E42,AV$9&lt;=$F42),"■","")</f>
      </c>
      <c r="AW42" s="0">
        <f>IF(AND(AW$9&gt;=$E42,AW$9&lt;=$F42),"■","")</f>
      </c>
      <c r="AX42" s="0">
        <f>IF(AND(AX$9&gt;=$E42,AX$9&lt;=$F42),"■","")</f>
      </c>
      <c r="AY42" s="0">
        <f>IF(AND(AY$9&gt;=$E42,AY$9&lt;=$F42),"■","")</f>
      </c>
      <c r="AZ42" s="0">
        <f>IF(AND(AZ$9&gt;=$E42,AZ$9&lt;=$F42),"■","")</f>
      </c>
      <c r="BA42" s="0">
        <f>IF(AND(BA$9&gt;=$E42,BA$9&lt;=$F42),"■","")</f>
      </c>
      <c r="BB42" s="0">
        <f>IF(AND(BB$9&gt;=$E42,BB$9&lt;=$F42),"■","")</f>
      </c>
      <c r="BC42" s="0">
        <f>IF(AND(BC$9&gt;=$E42,BC$9&lt;=$F42),"■","")</f>
      </c>
      <c r="BD42" s="0">
        <f>IF(AND(BD$9&gt;=$E42,BD$9&lt;=$F42),"■","")</f>
      </c>
      <c r="BE42" s="0">
        <f>IF(AND(BE$9&gt;=$E42,BE$9&lt;=$F42),"■","")</f>
      </c>
      <c r="BF42" s="0">
        <f>IF(AND(BF$9&gt;=$E42,BF$9&lt;=$F42),"■","")</f>
      </c>
      <c r="BG42" s="0">
        <f>IF(AND(BG$9&gt;=$E42,BG$9&lt;=$F42),"■","")</f>
      </c>
      <c r="BH42" s="0">
        <f>IF(AND(BH$9&gt;=$E42,BH$9&lt;=$F42),"■","")</f>
      </c>
      <c r="BI42" s="0">
        <f>IF(AND(BI$9&gt;=$E42,BI$9&lt;=$F42),"■","")</f>
      </c>
      <c r="BJ42" s="0">
        <f>IF(AND(BJ$9&gt;=$E42,BJ$9&lt;=$F42),"■","")</f>
      </c>
      <c r="BK42" s="0">
        <f>IF(AND(BK$9&gt;=$E42,BK$9&lt;=$F42),"■","")</f>
      </c>
      <c r="BL42" s="0">
        <f>IF(AND(BL$9&gt;=$E42,BL$9&lt;=$F42),"■","")</f>
      </c>
      <c r="BM42" s="0">
        <f>IF(AND(BM$9&gt;=$E42,BM$9&lt;=$F42),"■","")</f>
      </c>
      <c r="BN42" s="0">
        <f>IF(AND(BN$9&gt;=$E42,BN$9&lt;=$F42),"■","")</f>
      </c>
      <c r="BO42" s="0">
        <f>IF(AND(BO$9&gt;=$E42,BO$9&lt;=$F42),"■","")</f>
      </c>
      <c r="BP42" s="0">
        <f>IF(AND(BP$9&gt;=$E42,BP$9&lt;=$F42),"■","")</f>
      </c>
      <c r="BQ42" s="0">
        <f>IF(AND(BQ$9&gt;=$E42,BQ$9&lt;=$F42),"■","")</f>
      </c>
      <c r="BR42" s="0">
        <f>IF(AND(BR$9&gt;=$E42,BR$9&lt;=$F42),"■","")</f>
      </c>
      <c r="BS42" s="0">
        <f>IF(AND(BS$9&gt;=$E42,BS$9&lt;=$F42),"■","")</f>
      </c>
      <c r="BT42" s="0">
        <f>IF(AND(BT$9&gt;=$E42,BT$9&lt;=$F42),"■","")</f>
      </c>
      <c r="BU42" s="0">
        <f>IF(AND(BU$9&gt;=$E42,BU$9&lt;=$F42),"■","")</f>
      </c>
      <c r="BV42" s="0">
        <f>IF(AND(BV$9&gt;=$E42,BV$9&lt;=$F42),"■","")</f>
      </c>
      <c r="BW42" s="0">
        <f>IF(AND(BW$9&gt;=$E42,BW$9&lt;=$F42),"■","")</f>
      </c>
    </row>
    <row r="43">
      <c r="A43" s="0" t="inlineStr">
        <is>
          <t>P001-033</t>
        </is>
      </c>
      <c r="B43" s="0" t="inlineStr">
        <is>
          <t/>
        </is>
      </c>
      <c r="C43" s="0" t="inlineStr">
        <is>
          <t/>
        </is>
      </c>
      <c r="D43" s="0" t="inlineStr">
        <is>
          <t/>
        </is>
      </c>
      <c r="E43" s="0" t="inlineStr">
        <is>
          <t/>
        </is>
      </c>
      <c r="F43" s="0" t="inlineStr">
        <is>
          <t/>
        </is>
      </c>
      <c r="G43" s="0" t="inlineStr">
        <is>
          <t/>
        </is>
      </c>
      <c r="H43" s="0" t="inlineStr">
        <is>
          <t/>
        </is>
      </c>
      <c r="I43" s="0" t="inlineStr">
        <is>
          <t/>
        </is>
      </c>
      <c r="J43" s="0">
        <f>SUMIFS('Suivi Temps'!$D:$D,'Suivi Temps'!$A:$A,"P001-033")</f>
      </c>
      <c r="K43" s="0" t="inlineStr">
        <is>
          <t/>
        </is>
      </c>
      <c r="L43" s="0" t="inlineStr">
        <is>
          <t/>
        </is>
      </c>
      <c r="M43" s="0" t="inlineStr">
        <is>
          <t/>
        </is>
      </c>
      <c r="N43" s="0" t="inlineStr">
        <is>
          <t/>
        </is>
      </c>
      <c r="O43" s="0" t="inlineStr">
        <is>
          <t/>
        </is>
      </c>
      <c r="P43" s="0">
        <f>IF(AND(P$9&gt;=$E43,P$9&lt;=$F43),"■","")</f>
      </c>
      <c r="Q43" s="0">
        <f>IF(AND(Q$9&gt;=$E43,Q$9&lt;=$F43),"■","")</f>
      </c>
      <c r="R43" s="0">
        <f>IF(AND(R$9&gt;=$E43,R$9&lt;=$F43),"■","")</f>
      </c>
      <c r="S43" s="0">
        <f>IF(AND(S$9&gt;=$E43,S$9&lt;=$F43),"■","")</f>
      </c>
      <c r="T43" s="0">
        <f>IF(AND(T$9&gt;=$E43,T$9&lt;=$F43),"■","")</f>
      </c>
      <c r="U43" s="0">
        <f>IF(AND(U$9&gt;=$E43,U$9&lt;=$F43),"■","")</f>
      </c>
      <c r="V43" s="0">
        <f>IF(AND(V$9&gt;=$E43,V$9&lt;=$F43),"■","")</f>
      </c>
      <c r="W43" s="0">
        <f>IF(AND(W$9&gt;=$E43,W$9&lt;=$F43),"■","")</f>
      </c>
      <c r="X43" s="0">
        <f>IF(AND(X$9&gt;=$E43,X$9&lt;=$F43),"■","")</f>
      </c>
      <c r="Y43" s="0">
        <f>IF(AND(Y$9&gt;=$E43,Y$9&lt;=$F43),"■","")</f>
      </c>
      <c r="Z43" s="0">
        <f>IF(AND(Z$9&gt;=$E43,Z$9&lt;=$F43),"■","")</f>
      </c>
      <c r="AA43" s="0">
        <f>IF(AND(AA$9&gt;=$E43,AA$9&lt;=$F43),"■","")</f>
      </c>
      <c r="AB43" s="0">
        <f>IF(AND(AB$9&gt;=$E43,AB$9&lt;=$F43),"■","")</f>
      </c>
      <c r="AC43" s="0">
        <f>IF(AND(AC$9&gt;=$E43,AC$9&lt;=$F43),"■","")</f>
      </c>
      <c r="AD43" s="0">
        <f>IF(AND(AD$9&gt;=$E43,AD$9&lt;=$F43),"■","")</f>
      </c>
      <c r="AE43" s="0">
        <f>IF(AND(AE$9&gt;=$E43,AE$9&lt;=$F43),"■","")</f>
      </c>
      <c r="AF43" s="0">
        <f>IF(AND(AF$9&gt;=$E43,AF$9&lt;=$F43),"■","")</f>
      </c>
      <c r="AG43" s="0">
        <f>IF(AND(AG$9&gt;=$E43,AG$9&lt;=$F43),"■","")</f>
      </c>
      <c r="AH43" s="0">
        <f>IF(AND(AH$9&gt;=$E43,AH$9&lt;=$F43),"■","")</f>
      </c>
      <c r="AI43" s="0">
        <f>IF(AND(AI$9&gt;=$E43,AI$9&lt;=$F43),"■","")</f>
      </c>
      <c r="AJ43" s="0">
        <f>IF(AND(AJ$9&gt;=$E43,AJ$9&lt;=$F43),"■","")</f>
      </c>
      <c r="AK43" s="0">
        <f>IF(AND(AK$9&gt;=$E43,AK$9&lt;=$F43),"■","")</f>
      </c>
      <c r="AL43" s="0">
        <f>IF(AND(AL$9&gt;=$E43,AL$9&lt;=$F43),"■","")</f>
      </c>
      <c r="AM43" s="0">
        <f>IF(AND(AM$9&gt;=$E43,AM$9&lt;=$F43),"■","")</f>
      </c>
      <c r="AN43" s="0">
        <f>IF(AND(AN$9&gt;=$E43,AN$9&lt;=$F43),"■","")</f>
      </c>
      <c r="AO43" s="0">
        <f>IF(AND(AO$9&gt;=$E43,AO$9&lt;=$F43),"■","")</f>
      </c>
      <c r="AP43" s="0">
        <f>IF(AND(AP$9&gt;=$E43,AP$9&lt;=$F43),"■","")</f>
      </c>
      <c r="AQ43" s="0">
        <f>IF(AND(AQ$9&gt;=$E43,AQ$9&lt;=$F43),"■","")</f>
      </c>
      <c r="AR43" s="0">
        <f>IF(AND(AR$9&gt;=$E43,AR$9&lt;=$F43),"■","")</f>
      </c>
      <c r="AS43" s="0">
        <f>IF(AND(AS$9&gt;=$E43,AS$9&lt;=$F43),"■","")</f>
      </c>
      <c r="AT43" s="0">
        <f>IF(AND(AT$9&gt;=$E43,AT$9&lt;=$F43),"■","")</f>
      </c>
      <c r="AU43" s="0">
        <f>IF(AND(AU$9&gt;=$E43,AU$9&lt;=$F43),"■","")</f>
      </c>
      <c r="AV43" s="0">
        <f>IF(AND(AV$9&gt;=$E43,AV$9&lt;=$F43),"■","")</f>
      </c>
      <c r="AW43" s="0">
        <f>IF(AND(AW$9&gt;=$E43,AW$9&lt;=$F43),"■","")</f>
      </c>
      <c r="AX43" s="0">
        <f>IF(AND(AX$9&gt;=$E43,AX$9&lt;=$F43),"■","")</f>
      </c>
      <c r="AY43" s="0">
        <f>IF(AND(AY$9&gt;=$E43,AY$9&lt;=$F43),"■","")</f>
      </c>
      <c r="AZ43" s="0">
        <f>IF(AND(AZ$9&gt;=$E43,AZ$9&lt;=$F43),"■","")</f>
      </c>
      <c r="BA43" s="0">
        <f>IF(AND(BA$9&gt;=$E43,BA$9&lt;=$F43),"■","")</f>
      </c>
      <c r="BB43" s="0">
        <f>IF(AND(BB$9&gt;=$E43,BB$9&lt;=$F43),"■","")</f>
      </c>
      <c r="BC43" s="0">
        <f>IF(AND(BC$9&gt;=$E43,BC$9&lt;=$F43),"■","")</f>
      </c>
      <c r="BD43" s="0">
        <f>IF(AND(BD$9&gt;=$E43,BD$9&lt;=$F43),"■","")</f>
      </c>
      <c r="BE43" s="0">
        <f>IF(AND(BE$9&gt;=$E43,BE$9&lt;=$F43),"■","")</f>
      </c>
      <c r="BF43" s="0">
        <f>IF(AND(BF$9&gt;=$E43,BF$9&lt;=$F43),"■","")</f>
      </c>
      <c r="BG43" s="0">
        <f>IF(AND(BG$9&gt;=$E43,BG$9&lt;=$F43),"■","")</f>
      </c>
      <c r="BH43" s="0">
        <f>IF(AND(BH$9&gt;=$E43,BH$9&lt;=$F43),"■","")</f>
      </c>
      <c r="BI43" s="0">
        <f>IF(AND(BI$9&gt;=$E43,BI$9&lt;=$F43),"■","")</f>
      </c>
      <c r="BJ43" s="0">
        <f>IF(AND(BJ$9&gt;=$E43,BJ$9&lt;=$F43),"■","")</f>
      </c>
      <c r="BK43" s="0">
        <f>IF(AND(BK$9&gt;=$E43,BK$9&lt;=$F43),"■","")</f>
      </c>
      <c r="BL43" s="0">
        <f>IF(AND(BL$9&gt;=$E43,BL$9&lt;=$F43),"■","")</f>
      </c>
      <c r="BM43" s="0">
        <f>IF(AND(BM$9&gt;=$E43,BM$9&lt;=$F43),"■","")</f>
      </c>
      <c r="BN43" s="0">
        <f>IF(AND(BN$9&gt;=$E43,BN$9&lt;=$F43),"■","")</f>
      </c>
      <c r="BO43" s="0">
        <f>IF(AND(BO$9&gt;=$E43,BO$9&lt;=$F43),"■","")</f>
      </c>
      <c r="BP43" s="0">
        <f>IF(AND(BP$9&gt;=$E43,BP$9&lt;=$F43),"■","")</f>
      </c>
      <c r="BQ43" s="0">
        <f>IF(AND(BQ$9&gt;=$E43,BQ$9&lt;=$F43),"■","")</f>
      </c>
      <c r="BR43" s="0">
        <f>IF(AND(BR$9&gt;=$E43,BR$9&lt;=$F43),"■","")</f>
      </c>
      <c r="BS43" s="0">
        <f>IF(AND(BS$9&gt;=$E43,BS$9&lt;=$F43),"■","")</f>
      </c>
      <c r="BT43" s="0">
        <f>IF(AND(BT$9&gt;=$E43,BT$9&lt;=$F43),"■","")</f>
      </c>
      <c r="BU43" s="0">
        <f>IF(AND(BU$9&gt;=$E43,BU$9&lt;=$F43),"■","")</f>
      </c>
      <c r="BV43" s="0">
        <f>IF(AND(BV$9&gt;=$E43,BV$9&lt;=$F43),"■","")</f>
      </c>
      <c r="BW43" s="0">
        <f>IF(AND(BW$9&gt;=$E43,BW$9&lt;=$F43),"■","")</f>
      </c>
    </row>
    <row r="44">
      <c r="A44" s="0" t="inlineStr">
        <is>
          <t>P001-034</t>
        </is>
      </c>
      <c r="B44" s="0" t="inlineStr">
        <is>
          <t/>
        </is>
      </c>
      <c r="C44" s="0" t="inlineStr">
        <is>
          <t/>
        </is>
      </c>
      <c r="D44" s="0" t="inlineStr">
        <is>
          <t/>
        </is>
      </c>
      <c r="E44" s="0" t="inlineStr">
        <is>
          <t/>
        </is>
      </c>
      <c r="F44" s="0" t="inlineStr">
        <is>
          <t/>
        </is>
      </c>
      <c r="G44" s="0" t="inlineStr">
        <is>
          <t/>
        </is>
      </c>
      <c r="H44" s="0" t="inlineStr">
        <is>
          <t/>
        </is>
      </c>
      <c r="I44" s="0" t="inlineStr">
        <is>
          <t/>
        </is>
      </c>
      <c r="J44" s="0">
        <f>SUMIFS('Suivi Temps'!$D:$D,'Suivi Temps'!$A:$A,"P001-034")</f>
      </c>
      <c r="K44" s="0" t="inlineStr">
        <is>
          <t/>
        </is>
      </c>
      <c r="L44" s="0" t="inlineStr">
        <is>
          <t/>
        </is>
      </c>
      <c r="M44" s="0" t="inlineStr">
        <is>
          <t/>
        </is>
      </c>
      <c r="N44" s="0" t="inlineStr">
        <is>
          <t/>
        </is>
      </c>
      <c r="O44" s="0" t="inlineStr">
        <is>
          <t/>
        </is>
      </c>
      <c r="P44" s="0">
        <f>IF(AND(P$9&gt;=$E44,P$9&lt;=$F44),"■","")</f>
      </c>
      <c r="Q44" s="0">
        <f>IF(AND(Q$9&gt;=$E44,Q$9&lt;=$F44),"■","")</f>
      </c>
      <c r="R44" s="0">
        <f>IF(AND(R$9&gt;=$E44,R$9&lt;=$F44),"■","")</f>
      </c>
      <c r="S44" s="0">
        <f>IF(AND(S$9&gt;=$E44,S$9&lt;=$F44),"■","")</f>
      </c>
      <c r="T44" s="0">
        <f>IF(AND(T$9&gt;=$E44,T$9&lt;=$F44),"■","")</f>
      </c>
      <c r="U44" s="0">
        <f>IF(AND(U$9&gt;=$E44,U$9&lt;=$F44),"■","")</f>
      </c>
      <c r="V44" s="0">
        <f>IF(AND(V$9&gt;=$E44,V$9&lt;=$F44),"■","")</f>
      </c>
      <c r="W44" s="0">
        <f>IF(AND(W$9&gt;=$E44,W$9&lt;=$F44),"■","")</f>
      </c>
      <c r="X44" s="0">
        <f>IF(AND(X$9&gt;=$E44,X$9&lt;=$F44),"■","")</f>
      </c>
      <c r="Y44" s="0">
        <f>IF(AND(Y$9&gt;=$E44,Y$9&lt;=$F44),"■","")</f>
      </c>
      <c r="Z44" s="0">
        <f>IF(AND(Z$9&gt;=$E44,Z$9&lt;=$F44),"■","")</f>
      </c>
      <c r="AA44" s="0">
        <f>IF(AND(AA$9&gt;=$E44,AA$9&lt;=$F44),"■","")</f>
      </c>
      <c r="AB44" s="0">
        <f>IF(AND(AB$9&gt;=$E44,AB$9&lt;=$F44),"■","")</f>
      </c>
      <c r="AC44" s="0">
        <f>IF(AND(AC$9&gt;=$E44,AC$9&lt;=$F44),"■","")</f>
      </c>
      <c r="AD44" s="0">
        <f>IF(AND(AD$9&gt;=$E44,AD$9&lt;=$F44),"■","")</f>
      </c>
      <c r="AE44" s="0">
        <f>IF(AND(AE$9&gt;=$E44,AE$9&lt;=$F44),"■","")</f>
      </c>
      <c r="AF44" s="0">
        <f>IF(AND(AF$9&gt;=$E44,AF$9&lt;=$F44),"■","")</f>
      </c>
      <c r="AG44" s="0">
        <f>IF(AND(AG$9&gt;=$E44,AG$9&lt;=$F44),"■","")</f>
      </c>
      <c r="AH44" s="0">
        <f>IF(AND(AH$9&gt;=$E44,AH$9&lt;=$F44),"■","")</f>
      </c>
      <c r="AI44" s="0">
        <f>IF(AND(AI$9&gt;=$E44,AI$9&lt;=$F44),"■","")</f>
      </c>
      <c r="AJ44" s="0">
        <f>IF(AND(AJ$9&gt;=$E44,AJ$9&lt;=$F44),"■","")</f>
      </c>
      <c r="AK44" s="0">
        <f>IF(AND(AK$9&gt;=$E44,AK$9&lt;=$F44),"■","")</f>
      </c>
      <c r="AL44" s="0">
        <f>IF(AND(AL$9&gt;=$E44,AL$9&lt;=$F44),"■","")</f>
      </c>
      <c r="AM44" s="0">
        <f>IF(AND(AM$9&gt;=$E44,AM$9&lt;=$F44),"■","")</f>
      </c>
      <c r="AN44" s="0">
        <f>IF(AND(AN$9&gt;=$E44,AN$9&lt;=$F44),"■","")</f>
      </c>
      <c r="AO44" s="0">
        <f>IF(AND(AO$9&gt;=$E44,AO$9&lt;=$F44),"■","")</f>
      </c>
      <c r="AP44" s="0">
        <f>IF(AND(AP$9&gt;=$E44,AP$9&lt;=$F44),"■","")</f>
      </c>
      <c r="AQ44" s="0">
        <f>IF(AND(AQ$9&gt;=$E44,AQ$9&lt;=$F44),"■","")</f>
      </c>
      <c r="AR44" s="0">
        <f>IF(AND(AR$9&gt;=$E44,AR$9&lt;=$F44),"■","")</f>
      </c>
      <c r="AS44" s="0">
        <f>IF(AND(AS$9&gt;=$E44,AS$9&lt;=$F44),"■","")</f>
      </c>
      <c r="AT44" s="0">
        <f>IF(AND(AT$9&gt;=$E44,AT$9&lt;=$F44),"■","")</f>
      </c>
      <c r="AU44" s="0">
        <f>IF(AND(AU$9&gt;=$E44,AU$9&lt;=$F44),"■","")</f>
      </c>
      <c r="AV44" s="0">
        <f>IF(AND(AV$9&gt;=$E44,AV$9&lt;=$F44),"■","")</f>
      </c>
      <c r="AW44" s="0">
        <f>IF(AND(AW$9&gt;=$E44,AW$9&lt;=$F44),"■","")</f>
      </c>
      <c r="AX44" s="0">
        <f>IF(AND(AX$9&gt;=$E44,AX$9&lt;=$F44),"■","")</f>
      </c>
      <c r="AY44" s="0">
        <f>IF(AND(AY$9&gt;=$E44,AY$9&lt;=$F44),"■","")</f>
      </c>
      <c r="AZ44" s="0">
        <f>IF(AND(AZ$9&gt;=$E44,AZ$9&lt;=$F44),"■","")</f>
      </c>
      <c r="BA44" s="0">
        <f>IF(AND(BA$9&gt;=$E44,BA$9&lt;=$F44),"■","")</f>
      </c>
      <c r="BB44" s="0">
        <f>IF(AND(BB$9&gt;=$E44,BB$9&lt;=$F44),"■","")</f>
      </c>
      <c r="BC44" s="0">
        <f>IF(AND(BC$9&gt;=$E44,BC$9&lt;=$F44),"■","")</f>
      </c>
      <c r="BD44" s="0">
        <f>IF(AND(BD$9&gt;=$E44,BD$9&lt;=$F44),"■","")</f>
      </c>
      <c r="BE44" s="0">
        <f>IF(AND(BE$9&gt;=$E44,BE$9&lt;=$F44),"■","")</f>
      </c>
      <c r="BF44" s="0">
        <f>IF(AND(BF$9&gt;=$E44,BF$9&lt;=$F44),"■","")</f>
      </c>
      <c r="BG44" s="0">
        <f>IF(AND(BG$9&gt;=$E44,BG$9&lt;=$F44),"■","")</f>
      </c>
      <c r="BH44" s="0">
        <f>IF(AND(BH$9&gt;=$E44,BH$9&lt;=$F44),"■","")</f>
      </c>
      <c r="BI44" s="0">
        <f>IF(AND(BI$9&gt;=$E44,BI$9&lt;=$F44),"■","")</f>
      </c>
      <c r="BJ44" s="0">
        <f>IF(AND(BJ$9&gt;=$E44,BJ$9&lt;=$F44),"■","")</f>
      </c>
      <c r="BK44" s="0">
        <f>IF(AND(BK$9&gt;=$E44,BK$9&lt;=$F44),"■","")</f>
      </c>
      <c r="BL44" s="0">
        <f>IF(AND(BL$9&gt;=$E44,BL$9&lt;=$F44),"■","")</f>
      </c>
      <c r="BM44" s="0">
        <f>IF(AND(BM$9&gt;=$E44,BM$9&lt;=$F44),"■","")</f>
      </c>
      <c r="BN44" s="0">
        <f>IF(AND(BN$9&gt;=$E44,BN$9&lt;=$F44),"■","")</f>
      </c>
      <c r="BO44" s="0">
        <f>IF(AND(BO$9&gt;=$E44,BO$9&lt;=$F44),"■","")</f>
      </c>
      <c r="BP44" s="0">
        <f>IF(AND(BP$9&gt;=$E44,BP$9&lt;=$F44),"■","")</f>
      </c>
      <c r="BQ44" s="0">
        <f>IF(AND(BQ$9&gt;=$E44,BQ$9&lt;=$F44),"■","")</f>
      </c>
      <c r="BR44" s="0">
        <f>IF(AND(BR$9&gt;=$E44,BR$9&lt;=$F44),"■","")</f>
      </c>
      <c r="BS44" s="0">
        <f>IF(AND(BS$9&gt;=$E44,BS$9&lt;=$F44),"■","")</f>
      </c>
      <c r="BT44" s="0">
        <f>IF(AND(BT$9&gt;=$E44,BT$9&lt;=$F44),"■","")</f>
      </c>
      <c r="BU44" s="0">
        <f>IF(AND(BU$9&gt;=$E44,BU$9&lt;=$F44),"■","")</f>
      </c>
      <c r="BV44" s="0">
        <f>IF(AND(BV$9&gt;=$E44,BV$9&lt;=$F44),"■","")</f>
      </c>
      <c r="BW44" s="0">
        <f>IF(AND(BW$9&gt;=$E44,BW$9&lt;=$F44),"■","")</f>
      </c>
    </row>
    <row r="45">
      <c r="A45" s="0" t="inlineStr">
        <is>
          <t>P001-035</t>
        </is>
      </c>
      <c r="B45" s="0" t="inlineStr">
        <is>
          <t/>
        </is>
      </c>
      <c r="C45" s="0" t="inlineStr">
        <is>
          <t/>
        </is>
      </c>
      <c r="D45" s="0" t="inlineStr">
        <is>
          <t/>
        </is>
      </c>
      <c r="E45" s="0" t="inlineStr">
        <is>
          <t/>
        </is>
      </c>
      <c r="F45" s="0" t="inlineStr">
        <is>
          <t/>
        </is>
      </c>
      <c r="G45" s="0" t="inlineStr">
        <is>
          <t/>
        </is>
      </c>
      <c r="H45" s="0" t="inlineStr">
        <is>
          <t/>
        </is>
      </c>
      <c r="I45" s="0" t="inlineStr">
        <is>
          <t/>
        </is>
      </c>
      <c r="J45" s="0">
        <f>SUMIFS('Suivi Temps'!$D:$D,'Suivi Temps'!$A:$A,"P001-035")</f>
      </c>
      <c r="K45" s="0" t="inlineStr">
        <is>
          <t/>
        </is>
      </c>
      <c r="L45" s="0" t="inlineStr">
        <is>
          <t/>
        </is>
      </c>
      <c r="M45" s="0" t="inlineStr">
        <is>
          <t/>
        </is>
      </c>
      <c r="N45" s="0" t="inlineStr">
        <is>
          <t/>
        </is>
      </c>
      <c r="O45" s="0" t="inlineStr">
        <is>
          <t/>
        </is>
      </c>
      <c r="P45" s="0">
        <f>IF(AND(P$9&gt;=$E45,P$9&lt;=$F45),"■","")</f>
      </c>
      <c r="Q45" s="0">
        <f>IF(AND(Q$9&gt;=$E45,Q$9&lt;=$F45),"■","")</f>
      </c>
      <c r="R45" s="0">
        <f>IF(AND(R$9&gt;=$E45,R$9&lt;=$F45),"■","")</f>
      </c>
      <c r="S45" s="0">
        <f>IF(AND(S$9&gt;=$E45,S$9&lt;=$F45),"■","")</f>
      </c>
      <c r="T45" s="0">
        <f>IF(AND(T$9&gt;=$E45,T$9&lt;=$F45),"■","")</f>
      </c>
      <c r="U45" s="0">
        <f>IF(AND(U$9&gt;=$E45,U$9&lt;=$F45),"■","")</f>
      </c>
      <c r="V45" s="0">
        <f>IF(AND(V$9&gt;=$E45,V$9&lt;=$F45),"■","")</f>
      </c>
      <c r="W45" s="0">
        <f>IF(AND(W$9&gt;=$E45,W$9&lt;=$F45),"■","")</f>
      </c>
      <c r="X45" s="0">
        <f>IF(AND(X$9&gt;=$E45,X$9&lt;=$F45),"■","")</f>
      </c>
      <c r="Y45" s="0">
        <f>IF(AND(Y$9&gt;=$E45,Y$9&lt;=$F45),"■","")</f>
      </c>
      <c r="Z45" s="0">
        <f>IF(AND(Z$9&gt;=$E45,Z$9&lt;=$F45),"■","")</f>
      </c>
      <c r="AA45" s="0">
        <f>IF(AND(AA$9&gt;=$E45,AA$9&lt;=$F45),"■","")</f>
      </c>
      <c r="AB45" s="0">
        <f>IF(AND(AB$9&gt;=$E45,AB$9&lt;=$F45),"■","")</f>
      </c>
      <c r="AC45" s="0">
        <f>IF(AND(AC$9&gt;=$E45,AC$9&lt;=$F45),"■","")</f>
      </c>
      <c r="AD45" s="0">
        <f>IF(AND(AD$9&gt;=$E45,AD$9&lt;=$F45),"■","")</f>
      </c>
      <c r="AE45" s="0">
        <f>IF(AND(AE$9&gt;=$E45,AE$9&lt;=$F45),"■","")</f>
      </c>
      <c r="AF45" s="0">
        <f>IF(AND(AF$9&gt;=$E45,AF$9&lt;=$F45),"■","")</f>
      </c>
      <c r="AG45" s="0">
        <f>IF(AND(AG$9&gt;=$E45,AG$9&lt;=$F45),"■","")</f>
      </c>
      <c r="AH45" s="0">
        <f>IF(AND(AH$9&gt;=$E45,AH$9&lt;=$F45),"■","")</f>
      </c>
      <c r="AI45" s="0">
        <f>IF(AND(AI$9&gt;=$E45,AI$9&lt;=$F45),"■","")</f>
      </c>
      <c r="AJ45" s="0">
        <f>IF(AND(AJ$9&gt;=$E45,AJ$9&lt;=$F45),"■","")</f>
      </c>
      <c r="AK45" s="0">
        <f>IF(AND(AK$9&gt;=$E45,AK$9&lt;=$F45),"■","")</f>
      </c>
      <c r="AL45" s="0">
        <f>IF(AND(AL$9&gt;=$E45,AL$9&lt;=$F45),"■","")</f>
      </c>
      <c r="AM45" s="0">
        <f>IF(AND(AM$9&gt;=$E45,AM$9&lt;=$F45),"■","")</f>
      </c>
      <c r="AN45" s="0">
        <f>IF(AND(AN$9&gt;=$E45,AN$9&lt;=$F45),"■","")</f>
      </c>
      <c r="AO45" s="0">
        <f>IF(AND(AO$9&gt;=$E45,AO$9&lt;=$F45),"■","")</f>
      </c>
      <c r="AP45" s="0">
        <f>IF(AND(AP$9&gt;=$E45,AP$9&lt;=$F45),"■","")</f>
      </c>
      <c r="AQ45" s="0">
        <f>IF(AND(AQ$9&gt;=$E45,AQ$9&lt;=$F45),"■","")</f>
      </c>
      <c r="AR45" s="0">
        <f>IF(AND(AR$9&gt;=$E45,AR$9&lt;=$F45),"■","")</f>
      </c>
      <c r="AS45" s="0">
        <f>IF(AND(AS$9&gt;=$E45,AS$9&lt;=$F45),"■","")</f>
      </c>
      <c r="AT45" s="0">
        <f>IF(AND(AT$9&gt;=$E45,AT$9&lt;=$F45),"■","")</f>
      </c>
      <c r="AU45" s="0">
        <f>IF(AND(AU$9&gt;=$E45,AU$9&lt;=$F45),"■","")</f>
      </c>
      <c r="AV45" s="0">
        <f>IF(AND(AV$9&gt;=$E45,AV$9&lt;=$F45),"■","")</f>
      </c>
      <c r="AW45" s="0">
        <f>IF(AND(AW$9&gt;=$E45,AW$9&lt;=$F45),"■","")</f>
      </c>
      <c r="AX45" s="0">
        <f>IF(AND(AX$9&gt;=$E45,AX$9&lt;=$F45),"■","")</f>
      </c>
      <c r="AY45" s="0">
        <f>IF(AND(AY$9&gt;=$E45,AY$9&lt;=$F45),"■","")</f>
      </c>
      <c r="AZ45" s="0">
        <f>IF(AND(AZ$9&gt;=$E45,AZ$9&lt;=$F45),"■","")</f>
      </c>
      <c r="BA45" s="0">
        <f>IF(AND(BA$9&gt;=$E45,BA$9&lt;=$F45),"■","")</f>
      </c>
      <c r="BB45" s="0">
        <f>IF(AND(BB$9&gt;=$E45,BB$9&lt;=$F45),"■","")</f>
      </c>
      <c r="BC45" s="0">
        <f>IF(AND(BC$9&gt;=$E45,BC$9&lt;=$F45),"■","")</f>
      </c>
      <c r="BD45" s="0">
        <f>IF(AND(BD$9&gt;=$E45,BD$9&lt;=$F45),"■","")</f>
      </c>
      <c r="BE45" s="0">
        <f>IF(AND(BE$9&gt;=$E45,BE$9&lt;=$F45),"■","")</f>
      </c>
      <c r="BF45" s="0">
        <f>IF(AND(BF$9&gt;=$E45,BF$9&lt;=$F45),"■","")</f>
      </c>
      <c r="BG45" s="0">
        <f>IF(AND(BG$9&gt;=$E45,BG$9&lt;=$F45),"■","")</f>
      </c>
      <c r="BH45" s="0">
        <f>IF(AND(BH$9&gt;=$E45,BH$9&lt;=$F45),"■","")</f>
      </c>
      <c r="BI45" s="0">
        <f>IF(AND(BI$9&gt;=$E45,BI$9&lt;=$F45),"■","")</f>
      </c>
      <c r="BJ45" s="0">
        <f>IF(AND(BJ$9&gt;=$E45,BJ$9&lt;=$F45),"■","")</f>
      </c>
      <c r="BK45" s="0">
        <f>IF(AND(BK$9&gt;=$E45,BK$9&lt;=$F45),"■","")</f>
      </c>
      <c r="BL45" s="0">
        <f>IF(AND(BL$9&gt;=$E45,BL$9&lt;=$F45),"■","")</f>
      </c>
      <c r="BM45" s="0">
        <f>IF(AND(BM$9&gt;=$E45,BM$9&lt;=$F45),"■","")</f>
      </c>
      <c r="BN45" s="0">
        <f>IF(AND(BN$9&gt;=$E45,BN$9&lt;=$F45),"■","")</f>
      </c>
      <c r="BO45" s="0">
        <f>IF(AND(BO$9&gt;=$E45,BO$9&lt;=$F45),"■","")</f>
      </c>
      <c r="BP45" s="0">
        <f>IF(AND(BP$9&gt;=$E45,BP$9&lt;=$F45),"■","")</f>
      </c>
      <c r="BQ45" s="0">
        <f>IF(AND(BQ$9&gt;=$E45,BQ$9&lt;=$F45),"■","")</f>
      </c>
      <c r="BR45" s="0">
        <f>IF(AND(BR$9&gt;=$E45,BR$9&lt;=$F45),"■","")</f>
      </c>
      <c r="BS45" s="0">
        <f>IF(AND(BS$9&gt;=$E45,BS$9&lt;=$F45),"■","")</f>
      </c>
      <c r="BT45" s="0">
        <f>IF(AND(BT$9&gt;=$E45,BT$9&lt;=$F45),"■","")</f>
      </c>
      <c r="BU45" s="0">
        <f>IF(AND(BU$9&gt;=$E45,BU$9&lt;=$F45),"■","")</f>
      </c>
      <c r="BV45" s="0">
        <f>IF(AND(BV$9&gt;=$E45,BV$9&lt;=$F45),"■","")</f>
      </c>
      <c r="BW45" s="0">
        <f>IF(AND(BW$9&gt;=$E45,BW$9&lt;=$F45),"■","")</f>
      </c>
    </row>
    <row r="46">
      <c r="A46" s="0" t="inlineStr">
        <is>
          <t>P001-036</t>
        </is>
      </c>
      <c r="B46" s="0" t="inlineStr">
        <is>
          <t/>
        </is>
      </c>
      <c r="C46" s="0" t="inlineStr">
        <is>
          <t/>
        </is>
      </c>
      <c r="D46" s="0" t="inlineStr">
        <is>
          <t/>
        </is>
      </c>
      <c r="E46" s="0" t="inlineStr">
        <is>
          <t/>
        </is>
      </c>
      <c r="F46" s="0" t="inlineStr">
        <is>
          <t/>
        </is>
      </c>
      <c r="G46" s="0" t="inlineStr">
        <is>
          <t/>
        </is>
      </c>
      <c r="H46" s="0" t="inlineStr">
        <is>
          <t/>
        </is>
      </c>
      <c r="I46" s="0" t="inlineStr">
        <is>
          <t/>
        </is>
      </c>
      <c r="J46" s="0">
        <f>SUMIFS('Suivi Temps'!$D:$D,'Suivi Temps'!$A:$A,"P001-036")</f>
      </c>
      <c r="K46" s="0" t="inlineStr">
        <is>
          <t/>
        </is>
      </c>
      <c r="L46" s="0" t="inlineStr">
        <is>
          <t/>
        </is>
      </c>
      <c r="M46" s="0" t="inlineStr">
        <is>
          <t/>
        </is>
      </c>
      <c r="N46" s="0" t="inlineStr">
        <is>
          <t/>
        </is>
      </c>
      <c r="O46" s="0" t="inlineStr">
        <is>
          <t/>
        </is>
      </c>
      <c r="P46" s="0">
        <f>IF(AND(P$9&gt;=$E46,P$9&lt;=$F46),"■","")</f>
      </c>
      <c r="Q46" s="0">
        <f>IF(AND(Q$9&gt;=$E46,Q$9&lt;=$F46),"■","")</f>
      </c>
      <c r="R46" s="0">
        <f>IF(AND(R$9&gt;=$E46,R$9&lt;=$F46),"■","")</f>
      </c>
      <c r="S46" s="0">
        <f>IF(AND(S$9&gt;=$E46,S$9&lt;=$F46),"■","")</f>
      </c>
      <c r="T46" s="0">
        <f>IF(AND(T$9&gt;=$E46,T$9&lt;=$F46),"■","")</f>
      </c>
      <c r="U46" s="0">
        <f>IF(AND(U$9&gt;=$E46,U$9&lt;=$F46),"■","")</f>
      </c>
      <c r="V46" s="0">
        <f>IF(AND(V$9&gt;=$E46,V$9&lt;=$F46),"■","")</f>
      </c>
      <c r="W46" s="0">
        <f>IF(AND(W$9&gt;=$E46,W$9&lt;=$F46),"■","")</f>
      </c>
      <c r="X46" s="0">
        <f>IF(AND(X$9&gt;=$E46,X$9&lt;=$F46),"■","")</f>
      </c>
      <c r="Y46" s="0">
        <f>IF(AND(Y$9&gt;=$E46,Y$9&lt;=$F46),"■","")</f>
      </c>
      <c r="Z46" s="0">
        <f>IF(AND(Z$9&gt;=$E46,Z$9&lt;=$F46),"■","")</f>
      </c>
      <c r="AA46" s="0">
        <f>IF(AND(AA$9&gt;=$E46,AA$9&lt;=$F46),"■","")</f>
      </c>
      <c r="AB46" s="0">
        <f>IF(AND(AB$9&gt;=$E46,AB$9&lt;=$F46),"■","")</f>
      </c>
      <c r="AC46" s="0">
        <f>IF(AND(AC$9&gt;=$E46,AC$9&lt;=$F46),"■","")</f>
      </c>
      <c r="AD46" s="0">
        <f>IF(AND(AD$9&gt;=$E46,AD$9&lt;=$F46),"■","")</f>
      </c>
      <c r="AE46" s="0">
        <f>IF(AND(AE$9&gt;=$E46,AE$9&lt;=$F46),"■","")</f>
      </c>
      <c r="AF46" s="0">
        <f>IF(AND(AF$9&gt;=$E46,AF$9&lt;=$F46),"■","")</f>
      </c>
      <c r="AG46" s="0">
        <f>IF(AND(AG$9&gt;=$E46,AG$9&lt;=$F46),"■","")</f>
      </c>
      <c r="AH46" s="0">
        <f>IF(AND(AH$9&gt;=$E46,AH$9&lt;=$F46),"■","")</f>
      </c>
      <c r="AI46" s="0">
        <f>IF(AND(AI$9&gt;=$E46,AI$9&lt;=$F46),"■","")</f>
      </c>
      <c r="AJ46" s="0">
        <f>IF(AND(AJ$9&gt;=$E46,AJ$9&lt;=$F46),"■","")</f>
      </c>
      <c r="AK46" s="0">
        <f>IF(AND(AK$9&gt;=$E46,AK$9&lt;=$F46),"■","")</f>
      </c>
      <c r="AL46" s="0">
        <f>IF(AND(AL$9&gt;=$E46,AL$9&lt;=$F46),"■","")</f>
      </c>
      <c r="AM46" s="0">
        <f>IF(AND(AM$9&gt;=$E46,AM$9&lt;=$F46),"■","")</f>
      </c>
      <c r="AN46" s="0">
        <f>IF(AND(AN$9&gt;=$E46,AN$9&lt;=$F46),"■","")</f>
      </c>
      <c r="AO46" s="0">
        <f>IF(AND(AO$9&gt;=$E46,AO$9&lt;=$F46),"■","")</f>
      </c>
      <c r="AP46" s="0">
        <f>IF(AND(AP$9&gt;=$E46,AP$9&lt;=$F46),"■","")</f>
      </c>
      <c r="AQ46" s="0">
        <f>IF(AND(AQ$9&gt;=$E46,AQ$9&lt;=$F46),"■","")</f>
      </c>
      <c r="AR46" s="0">
        <f>IF(AND(AR$9&gt;=$E46,AR$9&lt;=$F46),"■","")</f>
      </c>
      <c r="AS46" s="0">
        <f>IF(AND(AS$9&gt;=$E46,AS$9&lt;=$F46),"■","")</f>
      </c>
      <c r="AT46" s="0">
        <f>IF(AND(AT$9&gt;=$E46,AT$9&lt;=$F46),"■","")</f>
      </c>
      <c r="AU46" s="0">
        <f>IF(AND(AU$9&gt;=$E46,AU$9&lt;=$F46),"■","")</f>
      </c>
      <c r="AV46" s="0">
        <f>IF(AND(AV$9&gt;=$E46,AV$9&lt;=$F46),"■","")</f>
      </c>
      <c r="AW46" s="0">
        <f>IF(AND(AW$9&gt;=$E46,AW$9&lt;=$F46),"■","")</f>
      </c>
      <c r="AX46" s="0">
        <f>IF(AND(AX$9&gt;=$E46,AX$9&lt;=$F46),"■","")</f>
      </c>
      <c r="AY46" s="0">
        <f>IF(AND(AY$9&gt;=$E46,AY$9&lt;=$F46),"■","")</f>
      </c>
      <c r="AZ46" s="0">
        <f>IF(AND(AZ$9&gt;=$E46,AZ$9&lt;=$F46),"■","")</f>
      </c>
      <c r="BA46" s="0">
        <f>IF(AND(BA$9&gt;=$E46,BA$9&lt;=$F46),"■","")</f>
      </c>
      <c r="BB46" s="0">
        <f>IF(AND(BB$9&gt;=$E46,BB$9&lt;=$F46),"■","")</f>
      </c>
      <c r="BC46" s="0">
        <f>IF(AND(BC$9&gt;=$E46,BC$9&lt;=$F46),"■","")</f>
      </c>
      <c r="BD46" s="0">
        <f>IF(AND(BD$9&gt;=$E46,BD$9&lt;=$F46),"■","")</f>
      </c>
      <c r="BE46" s="0">
        <f>IF(AND(BE$9&gt;=$E46,BE$9&lt;=$F46),"■","")</f>
      </c>
      <c r="BF46" s="0">
        <f>IF(AND(BF$9&gt;=$E46,BF$9&lt;=$F46),"■","")</f>
      </c>
      <c r="BG46" s="0">
        <f>IF(AND(BG$9&gt;=$E46,BG$9&lt;=$F46),"■","")</f>
      </c>
      <c r="BH46" s="0">
        <f>IF(AND(BH$9&gt;=$E46,BH$9&lt;=$F46),"■","")</f>
      </c>
      <c r="BI46" s="0">
        <f>IF(AND(BI$9&gt;=$E46,BI$9&lt;=$F46),"■","")</f>
      </c>
      <c r="BJ46" s="0">
        <f>IF(AND(BJ$9&gt;=$E46,BJ$9&lt;=$F46),"■","")</f>
      </c>
      <c r="BK46" s="0">
        <f>IF(AND(BK$9&gt;=$E46,BK$9&lt;=$F46),"■","")</f>
      </c>
      <c r="BL46" s="0">
        <f>IF(AND(BL$9&gt;=$E46,BL$9&lt;=$F46),"■","")</f>
      </c>
      <c r="BM46" s="0">
        <f>IF(AND(BM$9&gt;=$E46,BM$9&lt;=$F46),"■","")</f>
      </c>
      <c r="BN46" s="0">
        <f>IF(AND(BN$9&gt;=$E46,BN$9&lt;=$F46),"■","")</f>
      </c>
      <c r="BO46" s="0">
        <f>IF(AND(BO$9&gt;=$E46,BO$9&lt;=$F46),"■","")</f>
      </c>
      <c r="BP46" s="0">
        <f>IF(AND(BP$9&gt;=$E46,BP$9&lt;=$F46),"■","")</f>
      </c>
      <c r="BQ46" s="0">
        <f>IF(AND(BQ$9&gt;=$E46,BQ$9&lt;=$F46),"■","")</f>
      </c>
      <c r="BR46" s="0">
        <f>IF(AND(BR$9&gt;=$E46,BR$9&lt;=$F46),"■","")</f>
      </c>
      <c r="BS46" s="0">
        <f>IF(AND(BS$9&gt;=$E46,BS$9&lt;=$F46),"■","")</f>
      </c>
      <c r="BT46" s="0">
        <f>IF(AND(BT$9&gt;=$E46,BT$9&lt;=$F46),"■","")</f>
      </c>
      <c r="BU46" s="0">
        <f>IF(AND(BU$9&gt;=$E46,BU$9&lt;=$F46),"■","")</f>
      </c>
      <c r="BV46" s="0">
        <f>IF(AND(BV$9&gt;=$E46,BV$9&lt;=$F46),"■","")</f>
      </c>
      <c r="BW46" s="0">
        <f>IF(AND(BW$9&gt;=$E46,BW$9&lt;=$F46),"■","")</f>
      </c>
    </row>
    <row r="47">
      <c r="A47" s="0" t="inlineStr">
        <is>
          <t>P001-037</t>
        </is>
      </c>
      <c r="B47" s="0" t="inlineStr">
        <is>
          <t/>
        </is>
      </c>
      <c r="C47" s="0" t="inlineStr">
        <is>
          <t/>
        </is>
      </c>
      <c r="D47" s="0" t="inlineStr">
        <is>
          <t/>
        </is>
      </c>
      <c r="E47" s="0" t="inlineStr">
        <is>
          <t/>
        </is>
      </c>
      <c r="F47" s="0" t="inlineStr">
        <is>
          <t/>
        </is>
      </c>
      <c r="G47" s="0" t="inlineStr">
        <is>
          <t/>
        </is>
      </c>
      <c r="H47" s="0" t="inlineStr">
        <is>
          <t/>
        </is>
      </c>
      <c r="I47" s="0" t="inlineStr">
        <is>
          <t/>
        </is>
      </c>
      <c r="J47" s="0">
        <f>SUMIFS('Suivi Temps'!$D:$D,'Suivi Temps'!$A:$A,"P001-037")</f>
      </c>
      <c r="K47" s="0" t="inlineStr">
        <is>
          <t/>
        </is>
      </c>
      <c r="L47" s="0" t="inlineStr">
        <is>
          <t/>
        </is>
      </c>
      <c r="M47" s="0" t="inlineStr">
        <is>
          <t/>
        </is>
      </c>
      <c r="N47" s="0" t="inlineStr">
        <is>
          <t/>
        </is>
      </c>
      <c r="O47" s="0" t="inlineStr">
        <is>
          <t/>
        </is>
      </c>
      <c r="P47" s="0">
        <f>IF(AND(P$9&gt;=$E47,P$9&lt;=$F47),"■","")</f>
      </c>
      <c r="Q47" s="0">
        <f>IF(AND(Q$9&gt;=$E47,Q$9&lt;=$F47),"■","")</f>
      </c>
      <c r="R47" s="0">
        <f>IF(AND(R$9&gt;=$E47,R$9&lt;=$F47),"■","")</f>
      </c>
      <c r="S47" s="0">
        <f>IF(AND(S$9&gt;=$E47,S$9&lt;=$F47),"■","")</f>
      </c>
      <c r="T47" s="0">
        <f>IF(AND(T$9&gt;=$E47,T$9&lt;=$F47),"■","")</f>
      </c>
      <c r="U47" s="0">
        <f>IF(AND(U$9&gt;=$E47,U$9&lt;=$F47),"■","")</f>
      </c>
      <c r="V47" s="0">
        <f>IF(AND(V$9&gt;=$E47,V$9&lt;=$F47),"■","")</f>
      </c>
      <c r="W47" s="0">
        <f>IF(AND(W$9&gt;=$E47,W$9&lt;=$F47),"■","")</f>
      </c>
      <c r="X47" s="0">
        <f>IF(AND(X$9&gt;=$E47,X$9&lt;=$F47),"■","")</f>
      </c>
      <c r="Y47" s="0">
        <f>IF(AND(Y$9&gt;=$E47,Y$9&lt;=$F47),"■","")</f>
      </c>
      <c r="Z47" s="0">
        <f>IF(AND(Z$9&gt;=$E47,Z$9&lt;=$F47),"■","")</f>
      </c>
      <c r="AA47" s="0">
        <f>IF(AND(AA$9&gt;=$E47,AA$9&lt;=$F47),"■","")</f>
      </c>
      <c r="AB47" s="0">
        <f>IF(AND(AB$9&gt;=$E47,AB$9&lt;=$F47),"■","")</f>
      </c>
      <c r="AC47" s="0">
        <f>IF(AND(AC$9&gt;=$E47,AC$9&lt;=$F47),"■","")</f>
      </c>
      <c r="AD47" s="0">
        <f>IF(AND(AD$9&gt;=$E47,AD$9&lt;=$F47),"■","")</f>
      </c>
      <c r="AE47" s="0">
        <f>IF(AND(AE$9&gt;=$E47,AE$9&lt;=$F47),"■","")</f>
      </c>
      <c r="AF47" s="0">
        <f>IF(AND(AF$9&gt;=$E47,AF$9&lt;=$F47),"■","")</f>
      </c>
      <c r="AG47" s="0">
        <f>IF(AND(AG$9&gt;=$E47,AG$9&lt;=$F47),"■","")</f>
      </c>
      <c r="AH47" s="0">
        <f>IF(AND(AH$9&gt;=$E47,AH$9&lt;=$F47),"■","")</f>
      </c>
      <c r="AI47" s="0">
        <f>IF(AND(AI$9&gt;=$E47,AI$9&lt;=$F47),"■","")</f>
      </c>
      <c r="AJ47" s="0">
        <f>IF(AND(AJ$9&gt;=$E47,AJ$9&lt;=$F47),"■","")</f>
      </c>
      <c r="AK47" s="0">
        <f>IF(AND(AK$9&gt;=$E47,AK$9&lt;=$F47),"■","")</f>
      </c>
      <c r="AL47" s="0">
        <f>IF(AND(AL$9&gt;=$E47,AL$9&lt;=$F47),"■","")</f>
      </c>
      <c r="AM47" s="0">
        <f>IF(AND(AM$9&gt;=$E47,AM$9&lt;=$F47),"■","")</f>
      </c>
      <c r="AN47" s="0">
        <f>IF(AND(AN$9&gt;=$E47,AN$9&lt;=$F47),"■","")</f>
      </c>
      <c r="AO47" s="0">
        <f>IF(AND(AO$9&gt;=$E47,AO$9&lt;=$F47),"■","")</f>
      </c>
      <c r="AP47" s="0">
        <f>IF(AND(AP$9&gt;=$E47,AP$9&lt;=$F47),"■","")</f>
      </c>
      <c r="AQ47" s="0">
        <f>IF(AND(AQ$9&gt;=$E47,AQ$9&lt;=$F47),"■","")</f>
      </c>
      <c r="AR47" s="0">
        <f>IF(AND(AR$9&gt;=$E47,AR$9&lt;=$F47),"■","")</f>
      </c>
      <c r="AS47" s="0">
        <f>IF(AND(AS$9&gt;=$E47,AS$9&lt;=$F47),"■","")</f>
      </c>
      <c r="AT47" s="0">
        <f>IF(AND(AT$9&gt;=$E47,AT$9&lt;=$F47),"■","")</f>
      </c>
      <c r="AU47" s="0">
        <f>IF(AND(AU$9&gt;=$E47,AU$9&lt;=$F47),"■","")</f>
      </c>
      <c r="AV47" s="0">
        <f>IF(AND(AV$9&gt;=$E47,AV$9&lt;=$F47),"■","")</f>
      </c>
      <c r="AW47" s="0">
        <f>IF(AND(AW$9&gt;=$E47,AW$9&lt;=$F47),"■","")</f>
      </c>
      <c r="AX47" s="0">
        <f>IF(AND(AX$9&gt;=$E47,AX$9&lt;=$F47),"■","")</f>
      </c>
      <c r="AY47" s="0">
        <f>IF(AND(AY$9&gt;=$E47,AY$9&lt;=$F47),"■","")</f>
      </c>
      <c r="AZ47" s="0">
        <f>IF(AND(AZ$9&gt;=$E47,AZ$9&lt;=$F47),"■","")</f>
      </c>
      <c r="BA47" s="0">
        <f>IF(AND(BA$9&gt;=$E47,BA$9&lt;=$F47),"■","")</f>
      </c>
      <c r="BB47" s="0">
        <f>IF(AND(BB$9&gt;=$E47,BB$9&lt;=$F47),"■","")</f>
      </c>
      <c r="BC47" s="0">
        <f>IF(AND(BC$9&gt;=$E47,BC$9&lt;=$F47),"■","")</f>
      </c>
      <c r="BD47" s="0">
        <f>IF(AND(BD$9&gt;=$E47,BD$9&lt;=$F47),"■","")</f>
      </c>
      <c r="BE47" s="0">
        <f>IF(AND(BE$9&gt;=$E47,BE$9&lt;=$F47),"■","")</f>
      </c>
      <c r="BF47" s="0">
        <f>IF(AND(BF$9&gt;=$E47,BF$9&lt;=$F47),"■","")</f>
      </c>
      <c r="BG47" s="0">
        <f>IF(AND(BG$9&gt;=$E47,BG$9&lt;=$F47),"■","")</f>
      </c>
      <c r="BH47" s="0">
        <f>IF(AND(BH$9&gt;=$E47,BH$9&lt;=$F47),"■","")</f>
      </c>
      <c r="BI47" s="0">
        <f>IF(AND(BI$9&gt;=$E47,BI$9&lt;=$F47),"■","")</f>
      </c>
      <c r="BJ47" s="0">
        <f>IF(AND(BJ$9&gt;=$E47,BJ$9&lt;=$F47),"■","")</f>
      </c>
      <c r="BK47" s="0">
        <f>IF(AND(BK$9&gt;=$E47,BK$9&lt;=$F47),"■","")</f>
      </c>
      <c r="BL47" s="0">
        <f>IF(AND(BL$9&gt;=$E47,BL$9&lt;=$F47),"■","")</f>
      </c>
      <c r="BM47" s="0">
        <f>IF(AND(BM$9&gt;=$E47,BM$9&lt;=$F47),"■","")</f>
      </c>
      <c r="BN47" s="0">
        <f>IF(AND(BN$9&gt;=$E47,BN$9&lt;=$F47),"■","")</f>
      </c>
      <c r="BO47" s="0">
        <f>IF(AND(BO$9&gt;=$E47,BO$9&lt;=$F47),"■","")</f>
      </c>
      <c r="BP47" s="0">
        <f>IF(AND(BP$9&gt;=$E47,BP$9&lt;=$F47),"■","")</f>
      </c>
      <c r="BQ47" s="0">
        <f>IF(AND(BQ$9&gt;=$E47,BQ$9&lt;=$F47),"■","")</f>
      </c>
      <c r="BR47" s="0">
        <f>IF(AND(BR$9&gt;=$E47,BR$9&lt;=$F47),"■","")</f>
      </c>
      <c r="BS47" s="0">
        <f>IF(AND(BS$9&gt;=$E47,BS$9&lt;=$F47),"■","")</f>
      </c>
      <c r="BT47" s="0">
        <f>IF(AND(BT$9&gt;=$E47,BT$9&lt;=$F47),"■","")</f>
      </c>
      <c r="BU47" s="0">
        <f>IF(AND(BU$9&gt;=$E47,BU$9&lt;=$F47),"■","")</f>
      </c>
      <c r="BV47" s="0">
        <f>IF(AND(BV$9&gt;=$E47,BV$9&lt;=$F47),"■","")</f>
      </c>
      <c r="BW47" s="0">
        <f>IF(AND(BW$9&gt;=$E47,BW$9&lt;=$F47),"■","")</f>
      </c>
    </row>
    <row r="48">
      <c r="A48" s="0" t="inlineStr">
        <is>
          <t>P001-038</t>
        </is>
      </c>
      <c r="B48" s="0" t="inlineStr">
        <is>
          <t/>
        </is>
      </c>
      <c r="C48" s="0" t="inlineStr">
        <is>
          <t/>
        </is>
      </c>
      <c r="D48" s="0" t="inlineStr">
        <is>
          <t/>
        </is>
      </c>
      <c r="E48" s="0" t="inlineStr">
        <is>
          <t/>
        </is>
      </c>
      <c r="F48" s="0" t="inlineStr">
        <is>
          <t/>
        </is>
      </c>
      <c r="G48" s="0" t="inlineStr">
        <is>
          <t/>
        </is>
      </c>
      <c r="H48" s="0" t="inlineStr">
        <is>
          <t/>
        </is>
      </c>
      <c r="I48" s="0" t="inlineStr">
        <is>
          <t/>
        </is>
      </c>
      <c r="J48" s="0">
        <f>SUMIFS('Suivi Temps'!$D:$D,'Suivi Temps'!$A:$A,"P001-038")</f>
      </c>
      <c r="K48" s="0" t="inlineStr">
        <is>
          <t/>
        </is>
      </c>
      <c r="L48" s="0" t="inlineStr">
        <is>
          <t/>
        </is>
      </c>
      <c r="M48" s="0" t="inlineStr">
        <is>
          <t/>
        </is>
      </c>
      <c r="N48" s="0" t="inlineStr">
        <is>
          <t/>
        </is>
      </c>
      <c r="O48" s="0" t="inlineStr">
        <is>
          <t/>
        </is>
      </c>
      <c r="P48" s="0">
        <f>IF(AND(P$9&gt;=$E48,P$9&lt;=$F48),"■","")</f>
      </c>
      <c r="Q48" s="0">
        <f>IF(AND(Q$9&gt;=$E48,Q$9&lt;=$F48),"■","")</f>
      </c>
      <c r="R48" s="0">
        <f>IF(AND(R$9&gt;=$E48,R$9&lt;=$F48),"■","")</f>
      </c>
      <c r="S48" s="0">
        <f>IF(AND(S$9&gt;=$E48,S$9&lt;=$F48),"■","")</f>
      </c>
      <c r="T48" s="0">
        <f>IF(AND(T$9&gt;=$E48,T$9&lt;=$F48),"■","")</f>
      </c>
      <c r="U48" s="0">
        <f>IF(AND(U$9&gt;=$E48,U$9&lt;=$F48),"■","")</f>
      </c>
      <c r="V48" s="0">
        <f>IF(AND(V$9&gt;=$E48,V$9&lt;=$F48),"■","")</f>
      </c>
      <c r="W48" s="0">
        <f>IF(AND(W$9&gt;=$E48,W$9&lt;=$F48),"■","")</f>
      </c>
      <c r="X48" s="0">
        <f>IF(AND(X$9&gt;=$E48,X$9&lt;=$F48),"■","")</f>
      </c>
      <c r="Y48" s="0">
        <f>IF(AND(Y$9&gt;=$E48,Y$9&lt;=$F48),"■","")</f>
      </c>
      <c r="Z48" s="0">
        <f>IF(AND(Z$9&gt;=$E48,Z$9&lt;=$F48),"■","")</f>
      </c>
      <c r="AA48" s="0">
        <f>IF(AND(AA$9&gt;=$E48,AA$9&lt;=$F48),"■","")</f>
      </c>
      <c r="AB48" s="0">
        <f>IF(AND(AB$9&gt;=$E48,AB$9&lt;=$F48),"■","")</f>
      </c>
      <c r="AC48" s="0">
        <f>IF(AND(AC$9&gt;=$E48,AC$9&lt;=$F48),"■","")</f>
      </c>
      <c r="AD48" s="0">
        <f>IF(AND(AD$9&gt;=$E48,AD$9&lt;=$F48),"■","")</f>
      </c>
      <c r="AE48" s="0">
        <f>IF(AND(AE$9&gt;=$E48,AE$9&lt;=$F48),"■","")</f>
      </c>
      <c r="AF48" s="0">
        <f>IF(AND(AF$9&gt;=$E48,AF$9&lt;=$F48),"■","")</f>
      </c>
      <c r="AG48" s="0">
        <f>IF(AND(AG$9&gt;=$E48,AG$9&lt;=$F48),"■","")</f>
      </c>
      <c r="AH48" s="0">
        <f>IF(AND(AH$9&gt;=$E48,AH$9&lt;=$F48),"■","")</f>
      </c>
      <c r="AI48" s="0">
        <f>IF(AND(AI$9&gt;=$E48,AI$9&lt;=$F48),"■","")</f>
      </c>
      <c r="AJ48" s="0">
        <f>IF(AND(AJ$9&gt;=$E48,AJ$9&lt;=$F48),"■","")</f>
      </c>
      <c r="AK48" s="0">
        <f>IF(AND(AK$9&gt;=$E48,AK$9&lt;=$F48),"■","")</f>
      </c>
      <c r="AL48" s="0">
        <f>IF(AND(AL$9&gt;=$E48,AL$9&lt;=$F48),"■","")</f>
      </c>
      <c r="AM48" s="0">
        <f>IF(AND(AM$9&gt;=$E48,AM$9&lt;=$F48),"■","")</f>
      </c>
      <c r="AN48" s="0">
        <f>IF(AND(AN$9&gt;=$E48,AN$9&lt;=$F48),"■","")</f>
      </c>
      <c r="AO48" s="0">
        <f>IF(AND(AO$9&gt;=$E48,AO$9&lt;=$F48),"■","")</f>
      </c>
      <c r="AP48" s="0">
        <f>IF(AND(AP$9&gt;=$E48,AP$9&lt;=$F48),"■","")</f>
      </c>
      <c r="AQ48" s="0">
        <f>IF(AND(AQ$9&gt;=$E48,AQ$9&lt;=$F48),"■","")</f>
      </c>
      <c r="AR48" s="0">
        <f>IF(AND(AR$9&gt;=$E48,AR$9&lt;=$F48),"■","")</f>
      </c>
      <c r="AS48" s="0">
        <f>IF(AND(AS$9&gt;=$E48,AS$9&lt;=$F48),"■","")</f>
      </c>
      <c r="AT48" s="0">
        <f>IF(AND(AT$9&gt;=$E48,AT$9&lt;=$F48),"■","")</f>
      </c>
      <c r="AU48" s="0">
        <f>IF(AND(AU$9&gt;=$E48,AU$9&lt;=$F48),"■","")</f>
      </c>
      <c r="AV48" s="0">
        <f>IF(AND(AV$9&gt;=$E48,AV$9&lt;=$F48),"■","")</f>
      </c>
      <c r="AW48" s="0">
        <f>IF(AND(AW$9&gt;=$E48,AW$9&lt;=$F48),"■","")</f>
      </c>
      <c r="AX48" s="0">
        <f>IF(AND(AX$9&gt;=$E48,AX$9&lt;=$F48),"■","")</f>
      </c>
      <c r="AY48" s="0">
        <f>IF(AND(AY$9&gt;=$E48,AY$9&lt;=$F48),"■","")</f>
      </c>
      <c r="AZ48" s="0">
        <f>IF(AND(AZ$9&gt;=$E48,AZ$9&lt;=$F48),"■","")</f>
      </c>
      <c r="BA48" s="0">
        <f>IF(AND(BA$9&gt;=$E48,BA$9&lt;=$F48),"■","")</f>
      </c>
      <c r="BB48" s="0">
        <f>IF(AND(BB$9&gt;=$E48,BB$9&lt;=$F48),"■","")</f>
      </c>
      <c r="BC48" s="0">
        <f>IF(AND(BC$9&gt;=$E48,BC$9&lt;=$F48),"■","")</f>
      </c>
      <c r="BD48" s="0">
        <f>IF(AND(BD$9&gt;=$E48,BD$9&lt;=$F48),"■","")</f>
      </c>
      <c r="BE48" s="0">
        <f>IF(AND(BE$9&gt;=$E48,BE$9&lt;=$F48),"■","")</f>
      </c>
      <c r="BF48" s="0">
        <f>IF(AND(BF$9&gt;=$E48,BF$9&lt;=$F48),"■","")</f>
      </c>
      <c r="BG48" s="0">
        <f>IF(AND(BG$9&gt;=$E48,BG$9&lt;=$F48),"■","")</f>
      </c>
      <c r="BH48" s="0">
        <f>IF(AND(BH$9&gt;=$E48,BH$9&lt;=$F48),"■","")</f>
      </c>
      <c r="BI48" s="0">
        <f>IF(AND(BI$9&gt;=$E48,BI$9&lt;=$F48),"■","")</f>
      </c>
      <c r="BJ48" s="0">
        <f>IF(AND(BJ$9&gt;=$E48,BJ$9&lt;=$F48),"■","")</f>
      </c>
      <c r="BK48" s="0">
        <f>IF(AND(BK$9&gt;=$E48,BK$9&lt;=$F48),"■","")</f>
      </c>
      <c r="BL48" s="0">
        <f>IF(AND(BL$9&gt;=$E48,BL$9&lt;=$F48),"■","")</f>
      </c>
      <c r="BM48" s="0">
        <f>IF(AND(BM$9&gt;=$E48,BM$9&lt;=$F48),"■","")</f>
      </c>
      <c r="BN48" s="0">
        <f>IF(AND(BN$9&gt;=$E48,BN$9&lt;=$F48),"■","")</f>
      </c>
      <c r="BO48" s="0">
        <f>IF(AND(BO$9&gt;=$E48,BO$9&lt;=$F48),"■","")</f>
      </c>
      <c r="BP48" s="0">
        <f>IF(AND(BP$9&gt;=$E48,BP$9&lt;=$F48),"■","")</f>
      </c>
      <c r="BQ48" s="0">
        <f>IF(AND(BQ$9&gt;=$E48,BQ$9&lt;=$F48),"■","")</f>
      </c>
      <c r="BR48" s="0">
        <f>IF(AND(BR$9&gt;=$E48,BR$9&lt;=$F48),"■","")</f>
      </c>
      <c r="BS48" s="0">
        <f>IF(AND(BS$9&gt;=$E48,BS$9&lt;=$F48),"■","")</f>
      </c>
      <c r="BT48" s="0">
        <f>IF(AND(BT$9&gt;=$E48,BT$9&lt;=$F48),"■","")</f>
      </c>
      <c r="BU48" s="0">
        <f>IF(AND(BU$9&gt;=$E48,BU$9&lt;=$F48),"■","")</f>
      </c>
      <c r="BV48" s="0">
        <f>IF(AND(BV$9&gt;=$E48,BV$9&lt;=$F48),"■","")</f>
      </c>
      <c r="BW48" s="0">
        <f>IF(AND(BW$9&gt;=$E48,BW$9&lt;=$F48),"■","")</f>
      </c>
    </row>
    <row r="49">
      <c r="A49" s="0" t="inlineStr">
        <is>
          <t>P001-039</t>
        </is>
      </c>
      <c r="B49" s="0" t="inlineStr">
        <is>
          <t/>
        </is>
      </c>
      <c r="C49" s="0" t="inlineStr">
        <is>
          <t/>
        </is>
      </c>
      <c r="D49" s="0" t="inlineStr">
        <is>
          <t/>
        </is>
      </c>
      <c r="E49" s="0" t="inlineStr">
        <is>
          <t/>
        </is>
      </c>
      <c r="F49" s="0" t="inlineStr">
        <is>
          <t/>
        </is>
      </c>
      <c r="G49" s="0" t="inlineStr">
        <is>
          <t/>
        </is>
      </c>
      <c r="H49" s="0" t="inlineStr">
        <is>
          <t/>
        </is>
      </c>
      <c r="I49" s="0" t="inlineStr">
        <is>
          <t/>
        </is>
      </c>
      <c r="J49" s="0">
        <f>SUMIFS('Suivi Temps'!$D:$D,'Suivi Temps'!$A:$A,"P001-039")</f>
      </c>
      <c r="K49" s="0" t="inlineStr">
        <is>
          <t/>
        </is>
      </c>
      <c r="L49" s="0" t="inlineStr">
        <is>
          <t/>
        </is>
      </c>
      <c r="M49" s="0" t="inlineStr">
        <is>
          <t/>
        </is>
      </c>
      <c r="N49" s="0" t="inlineStr">
        <is>
          <t/>
        </is>
      </c>
      <c r="O49" s="0" t="inlineStr">
        <is>
          <t/>
        </is>
      </c>
      <c r="P49" s="0">
        <f>IF(AND(P$9&gt;=$E49,P$9&lt;=$F49),"■","")</f>
      </c>
      <c r="Q49" s="0">
        <f>IF(AND(Q$9&gt;=$E49,Q$9&lt;=$F49),"■","")</f>
      </c>
      <c r="R49" s="0">
        <f>IF(AND(R$9&gt;=$E49,R$9&lt;=$F49),"■","")</f>
      </c>
      <c r="S49" s="0">
        <f>IF(AND(S$9&gt;=$E49,S$9&lt;=$F49),"■","")</f>
      </c>
      <c r="T49" s="0">
        <f>IF(AND(T$9&gt;=$E49,T$9&lt;=$F49),"■","")</f>
      </c>
      <c r="U49" s="0">
        <f>IF(AND(U$9&gt;=$E49,U$9&lt;=$F49),"■","")</f>
      </c>
      <c r="V49" s="0">
        <f>IF(AND(V$9&gt;=$E49,V$9&lt;=$F49),"■","")</f>
      </c>
      <c r="W49" s="0">
        <f>IF(AND(W$9&gt;=$E49,W$9&lt;=$F49),"■","")</f>
      </c>
      <c r="X49" s="0">
        <f>IF(AND(X$9&gt;=$E49,X$9&lt;=$F49),"■","")</f>
      </c>
      <c r="Y49" s="0">
        <f>IF(AND(Y$9&gt;=$E49,Y$9&lt;=$F49),"■","")</f>
      </c>
      <c r="Z49" s="0">
        <f>IF(AND(Z$9&gt;=$E49,Z$9&lt;=$F49),"■","")</f>
      </c>
      <c r="AA49" s="0">
        <f>IF(AND(AA$9&gt;=$E49,AA$9&lt;=$F49),"■","")</f>
      </c>
      <c r="AB49" s="0">
        <f>IF(AND(AB$9&gt;=$E49,AB$9&lt;=$F49),"■","")</f>
      </c>
      <c r="AC49" s="0">
        <f>IF(AND(AC$9&gt;=$E49,AC$9&lt;=$F49),"■","")</f>
      </c>
      <c r="AD49" s="0">
        <f>IF(AND(AD$9&gt;=$E49,AD$9&lt;=$F49),"■","")</f>
      </c>
      <c r="AE49" s="0">
        <f>IF(AND(AE$9&gt;=$E49,AE$9&lt;=$F49),"■","")</f>
      </c>
      <c r="AF49" s="0">
        <f>IF(AND(AF$9&gt;=$E49,AF$9&lt;=$F49),"■","")</f>
      </c>
      <c r="AG49" s="0">
        <f>IF(AND(AG$9&gt;=$E49,AG$9&lt;=$F49),"■","")</f>
      </c>
      <c r="AH49" s="0">
        <f>IF(AND(AH$9&gt;=$E49,AH$9&lt;=$F49),"■","")</f>
      </c>
      <c r="AI49" s="0">
        <f>IF(AND(AI$9&gt;=$E49,AI$9&lt;=$F49),"■","")</f>
      </c>
      <c r="AJ49" s="0">
        <f>IF(AND(AJ$9&gt;=$E49,AJ$9&lt;=$F49),"■","")</f>
      </c>
      <c r="AK49" s="0">
        <f>IF(AND(AK$9&gt;=$E49,AK$9&lt;=$F49),"■","")</f>
      </c>
      <c r="AL49" s="0">
        <f>IF(AND(AL$9&gt;=$E49,AL$9&lt;=$F49),"■","")</f>
      </c>
      <c r="AM49" s="0">
        <f>IF(AND(AM$9&gt;=$E49,AM$9&lt;=$F49),"■","")</f>
      </c>
      <c r="AN49" s="0">
        <f>IF(AND(AN$9&gt;=$E49,AN$9&lt;=$F49),"■","")</f>
      </c>
      <c r="AO49" s="0">
        <f>IF(AND(AO$9&gt;=$E49,AO$9&lt;=$F49),"■","")</f>
      </c>
      <c r="AP49" s="0">
        <f>IF(AND(AP$9&gt;=$E49,AP$9&lt;=$F49),"■","")</f>
      </c>
      <c r="AQ49" s="0">
        <f>IF(AND(AQ$9&gt;=$E49,AQ$9&lt;=$F49),"■","")</f>
      </c>
      <c r="AR49" s="0">
        <f>IF(AND(AR$9&gt;=$E49,AR$9&lt;=$F49),"■","")</f>
      </c>
      <c r="AS49" s="0">
        <f>IF(AND(AS$9&gt;=$E49,AS$9&lt;=$F49),"■","")</f>
      </c>
      <c r="AT49" s="0">
        <f>IF(AND(AT$9&gt;=$E49,AT$9&lt;=$F49),"■","")</f>
      </c>
      <c r="AU49" s="0">
        <f>IF(AND(AU$9&gt;=$E49,AU$9&lt;=$F49),"■","")</f>
      </c>
      <c r="AV49" s="0">
        <f>IF(AND(AV$9&gt;=$E49,AV$9&lt;=$F49),"■","")</f>
      </c>
      <c r="AW49" s="0">
        <f>IF(AND(AW$9&gt;=$E49,AW$9&lt;=$F49),"■","")</f>
      </c>
      <c r="AX49" s="0">
        <f>IF(AND(AX$9&gt;=$E49,AX$9&lt;=$F49),"■","")</f>
      </c>
      <c r="AY49" s="0">
        <f>IF(AND(AY$9&gt;=$E49,AY$9&lt;=$F49),"■","")</f>
      </c>
      <c r="AZ49" s="0">
        <f>IF(AND(AZ$9&gt;=$E49,AZ$9&lt;=$F49),"■","")</f>
      </c>
      <c r="BA49" s="0">
        <f>IF(AND(BA$9&gt;=$E49,BA$9&lt;=$F49),"■","")</f>
      </c>
      <c r="BB49" s="0">
        <f>IF(AND(BB$9&gt;=$E49,BB$9&lt;=$F49),"■","")</f>
      </c>
      <c r="BC49" s="0">
        <f>IF(AND(BC$9&gt;=$E49,BC$9&lt;=$F49),"■","")</f>
      </c>
      <c r="BD49" s="0">
        <f>IF(AND(BD$9&gt;=$E49,BD$9&lt;=$F49),"■","")</f>
      </c>
      <c r="BE49" s="0">
        <f>IF(AND(BE$9&gt;=$E49,BE$9&lt;=$F49),"■","")</f>
      </c>
      <c r="BF49" s="0">
        <f>IF(AND(BF$9&gt;=$E49,BF$9&lt;=$F49),"■","")</f>
      </c>
      <c r="BG49" s="0">
        <f>IF(AND(BG$9&gt;=$E49,BG$9&lt;=$F49),"■","")</f>
      </c>
      <c r="BH49" s="0">
        <f>IF(AND(BH$9&gt;=$E49,BH$9&lt;=$F49),"■","")</f>
      </c>
      <c r="BI49" s="0">
        <f>IF(AND(BI$9&gt;=$E49,BI$9&lt;=$F49),"■","")</f>
      </c>
      <c r="BJ49" s="0">
        <f>IF(AND(BJ$9&gt;=$E49,BJ$9&lt;=$F49),"■","")</f>
      </c>
      <c r="BK49" s="0">
        <f>IF(AND(BK$9&gt;=$E49,BK$9&lt;=$F49),"■","")</f>
      </c>
      <c r="BL49" s="0">
        <f>IF(AND(BL$9&gt;=$E49,BL$9&lt;=$F49),"■","")</f>
      </c>
      <c r="BM49" s="0">
        <f>IF(AND(BM$9&gt;=$E49,BM$9&lt;=$F49),"■","")</f>
      </c>
      <c r="BN49" s="0">
        <f>IF(AND(BN$9&gt;=$E49,BN$9&lt;=$F49),"■","")</f>
      </c>
      <c r="BO49" s="0">
        <f>IF(AND(BO$9&gt;=$E49,BO$9&lt;=$F49),"■","")</f>
      </c>
      <c r="BP49" s="0">
        <f>IF(AND(BP$9&gt;=$E49,BP$9&lt;=$F49),"■","")</f>
      </c>
      <c r="BQ49" s="0">
        <f>IF(AND(BQ$9&gt;=$E49,BQ$9&lt;=$F49),"■","")</f>
      </c>
      <c r="BR49" s="0">
        <f>IF(AND(BR$9&gt;=$E49,BR$9&lt;=$F49),"■","")</f>
      </c>
      <c r="BS49" s="0">
        <f>IF(AND(BS$9&gt;=$E49,BS$9&lt;=$F49),"■","")</f>
      </c>
      <c r="BT49" s="0">
        <f>IF(AND(BT$9&gt;=$E49,BT$9&lt;=$F49),"■","")</f>
      </c>
      <c r="BU49" s="0">
        <f>IF(AND(BU$9&gt;=$E49,BU$9&lt;=$F49),"■","")</f>
      </c>
      <c r="BV49" s="0">
        <f>IF(AND(BV$9&gt;=$E49,BV$9&lt;=$F49),"■","")</f>
      </c>
      <c r="BW49" s="0">
        <f>IF(AND(BW$9&gt;=$E49,BW$9&lt;=$F49),"■","")</f>
      </c>
    </row>
    <row r="50">
      <c r="A50" s="0" t="inlineStr">
        <is>
          <t>P001-040</t>
        </is>
      </c>
      <c r="B50" s="0" t="inlineStr">
        <is>
          <t/>
        </is>
      </c>
      <c r="C50" s="0" t="inlineStr">
        <is>
          <t/>
        </is>
      </c>
      <c r="D50" s="0" t="inlineStr">
        <is>
          <t/>
        </is>
      </c>
      <c r="E50" s="0" t="inlineStr">
        <is>
          <t/>
        </is>
      </c>
      <c r="F50" s="0" t="inlineStr">
        <is>
          <t/>
        </is>
      </c>
      <c r="G50" s="0" t="inlineStr">
        <is>
          <t/>
        </is>
      </c>
      <c r="H50" s="0" t="inlineStr">
        <is>
          <t/>
        </is>
      </c>
      <c r="I50" s="0" t="inlineStr">
        <is>
          <t/>
        </is>
      </c>
      <c r="J50" s="0">
        <f>SUMIFS('Suivi Temps'!$D:$D,'Suivi Temps'!$A:$A,"P001-040")</f>
      </c>
      <c r="K50" s="0" t="inlineStr">
        <is>
          <t/>
        </is>
      </c>
      <c r="L50" s="0" t="inlineStr">
        <is>
          <t/>
        </is>
      </c>
      <c r="M50" s="0" t="inlineStr">
        <is>
          <t/>
        </is>
      </c>
      <c r="N50" s="0" t="inlineStr">
        <is>
          <t/>
        </is>
      </c>
      <c r="O50" s="0" t="inlineStr">
        <is>
          <t/>
        </is>
      </c>
      <c r="P50" s="0">
        <f>IF(AND(P$9&gt;=$E50,P$9&lt;=$F50),"■","")</f>
      </c>
      <c r="Q50" s="0">
        <f>IF(AND(Q$9&gt;=$E50,Q$9&lt;=$F50),"■","")</f>
      </c>
      <c r="R50" s="0">
        <f>IF(AND(R$9&gt;=$E50,R$9&lt;=$F50),"■","")</f>
      </c>
      <c r="S50" s="0">
        <f>IF(AND(S$9&gt;=$E50,S$9&lt;=$F50),"■","")</f>
      </c>
      <c r="T50" s="0">
        <f>IF(AND(T$9&gt;=$E50,T$9&lt;=$F50),"■","")</f>
      </c>
      <c r="U50" s="0">
        <f>IF(AND(U$9&gt;=$E50,U$9&lt;=$F50),"■","")</f>
      </c>
      <c r="V50" s="0">
        <f>IF(AND(V$9&gt;=$E50,V$9&lt;=$F50),"■","")</f>
      </c>
      <c r="W50" s="0">
        <f>IF(AND(W$9&gt;=$E50,W$9&lt;=$F50),"■","")</f>
      </c>
      <c r="X50" s="0">
        <f>IF(AND(X$9&gt;=$E50,X$9&lt;=$F50),"■","")</f>
      </c>
      <c r="Y50" s="0">
        <f>IF(AND(Y$9&gt;=$E50,Y$9&lt;=$F50),"■","")</f>
      </c>
      <c r="Z50" s="0">
        <f>IF(AND(Z$9&gt;=$E50,Z$9&lt;=$F50),"■","")</f>
      </c>
      <c r="AA50" s="0">
        <f>IF(AND(AA$9&gt;=$E50,AA$9&lt;=$F50),"■","")</f>
      </c>
      <c r="AB50" s="0">
        <f>IF(AND(AB$9&gt;=$E50,AB$9&lt;=$F50),"■","")</f>
      </c>
      <c r="AC50" s="0">
        <f>IF(AND(AC$9&gt;=$E50,AC$9&lt;=$F50),"■","")</f>
      </c>
      <c r="AD50" s="0">
        <f>IF(AND(AD$9&gt;=$E50,AD$9&lt;=$F50),"■","")</f>
      </c>
      <c r="AE50" s="0">
        <f>IF(AND(AE$9&gt;=$E50,AE$9&lt;=$F50),"■","")</f>
      </c>
      <c r="AF50" s="0">
        <f>IF(AND(AF$9&gt;=$E50,AF$9&lt;=$F50),"■","")</f>
      </c>
      <c r="AG50" s="0">
        <f>IF(AND(AG$9&gt;=$E50,AG$9&lt;=$F50),"■","")</f>
      </c>
      <c r="AH50" s="0">
        <f>IF(AND(AH$9&gt;=$E50,AH$9&lt;=$F50),"■","")</f>
      </c>
      <c r="AI50" s="0">
        <f>IF(AND(AI$9&gt;=$E50,AI$9&lt;=$F50),"■","")</f>
      </c>
      <c r="AJ50" s="0">
        <f>IF(AND(AJ$9&gt;=$E50,AJ$9&lt;=$F50),"■","")</f>
      </c>
      <c r="AK50" s="0">
        <f>IF(AND(AK$9&gt;=$E50,AK$9&lt;=$F50),"■","")</f>
      </c>
      <c r="AL50" s="0">
        <f>IF(AND(AL$9&gt;=$E50,AL$9&lt;=$F50),"■","")</f>
      </c>
      <c r="AM50" s="0">
        <f>IF(AND(AM$9&gt;=$E50,AM$9&lt;=$F50),"■","")</f>
      </c>
      <c r="AN50" s="0">
        <f>IF(AND(AN$9&gt;=$E50,AN$9&lt;=$F50),"■","")</f>
      </c>
      <c r="AO50" s="0">
        <f>IF(AND(AO$9&gt;=$E50,AO$9&lt;=$F50),"■","")</f>
      </c>
      <c r="AP50" s="0">
        <f>IF(AND(AP$9&gt;=$E50,AP$9&lt;=$F50),"■","")</f>
      </c>
      <c r="AQ50" s="0">
        <f>IF(AND(AQ$9&gt;=$E50,AQ$9&lt;=$F50),"■","")</f>
      </c>
      <c r="AR50" s="0">
        <f>IF(AND(AR$9&gt;=$E50,AR$9&lt;=$F50),"■","")</f>
      </c>
      <c r="AS50" s="0">
        <f>IF(AND(AS$9&gt;=$E50,AS$9&lt;=$F50),"■","")</f>
      </c>
      <c r="AT50" s="0">
        <f>IF(AND(AT$9&gt;=$E50,AT$9&lt;=$F50),"■","")</f>
      </c>
      <c r="AU50" s="0">
        <f>IF(AND(AU$9&gt;=$E50,AU$9&lt;=$F50),"■","")</f>
      </c>
      <c r="AV50" s="0">
        <f>IF(AND(AV$9&gt;=$E50,AV$9&lt;=$F50),"■","")</f>
      </c>
      <c r="AW50" s="0">
        <f>IF(AND(AW$9&gt;=$E50,AW$9&lt;=$F50),"■","")</f>
      </c>
      <c r="AX50" s="0">
        <f>IF(AND(AX$9&gt;=$E50,AX$9&lt;=$F50),"■","")</f>
      </c>
      <c r="AY50" s="0">
        <f>IF(AND(AY$9&gt;=$E50,AY$9&lt;=$F50),"■","")</f>
      </c>
      <c r="AZ50" s="0">
        <f>IF(AND(AZ$9&gt;=$E50,AZ$9&lt;=$F50),"■","")</f>
      </c>
      <c r="BA50" s="0">
        <f>IF(AND(BA$9&gt;=$E50,BA$9&lt;=$F50),"■","")</f>
      </c>
      <c r="BB50" s="0">
        <f>IF(AND(BB$9&gt;=$E50,BB$9&lt;=$F50),"■","")</f>
      </c>
      <c r="BC50" s="0">
        <f>IF(AND(BC$9&gt;=$E50,BC$9&lt;=$F50),"■","")</f>
      </c>
      <c r="BD50" s="0">
        <f>IF(AND(BD$9&gt;=$E50,BD$9&lt;=$F50),"■","")</f>
      </c>
      <c r="BE50" s="0">
        <f>IF(AND(BE$9&gt;=$E50,BE$9&lt;=$F50),"■","")</f>
      </c>
      <c r="BF50" s="0">
        <f>IF(AND(BF$9&gt;=$E50,BF$9&lt;=$F50),"■","")</f>
      </c>
      <c r="BG50" s="0">
        <f>IF(AND(BG$9&gt;=$E50,BG$9&lt;=$F50),"■","")</f>
      </c>
      <c r="BH50" s="0">
        <f>IF(AND(BH$9&gt;=$E50,BH$9&lt;=$F50),"■","")</f>
      </c>
      <c r="BI50" s="0">
        <f>IF(AND(BI$9&gt;=$E50,BI$9&lt;=$F50),"■","")</f>
      </c>
      <c r="BJ50" s="0">
        <f>IF(AND(BJ$9&gt;=$E50,BJ$9&lt;=$F50),"■","")</f>
      </c>
      <c r="BK50" s="0">
        <f>IF(AND(BK$9&gt;=$E50,BK$9&lt;=$F50),"■","")</f>
      </c>
      <c r="BL50" s="0">
        <f>IF(AND(BL$9&gt;=$E50,BL$9&lt;=$F50),"■","")</f>
      </c>
      <c r="BM50" s="0">
        <f>IF(AND(BM$9&gt;=$E50,BM$9&lt;=$F50),"■","")</f>
      </c>
      <c r="BN50" s="0">
        <f>IF(AND(BN$9&gt;=$E50,BN$9&lt;=$F50),"■","")</f>
      </c>
      <c r="BO50" s="0">
        <f>IF(AND(BO$9&gt;=$E50,BO$9&lt;=$F50),"■","")</f>
      </c>
      <c r="BP50" s="0">
        <f>IF(AND(BP$9&gt;=$E50,BP$9&lt;=$F50),"■","")</f>
      </c>
      <c r="BQ50" s="0">
        <f>IF(AND(BQ$9&gt;=$E50,BQ$9&lt;=$F50),"■","")</f>
      </c>
      <c r="BR50" s="0">
        <f>IF(AND(BR$9&gt;=$E50,BR$9&lt;=$F50),"■","")</f>
      </c>
      <c r="BS50" s="0">
        <f>IF(AND(BS$9&gt;=$E50,BS$9&lt;=$F50),"■","")</f>
      </c>
      <c r="BT50" s="0">
        <f>IF(AND(BT$9&gt;=$E50,BT$9&lt;=$F50),"■","")</f>
      </c>
      <c r="BU50" s="0">
        <f>IF(AND(BU$9&gt;=$E50,BU$9&lt;=$F50),"■","")</f>
      </c>
      <c r="BV50" s="0">
        <f>IF(AND(BV$9&gt;=$E50,BV$9&lt;=$F50),"■","")</f>
      </c>
      <c r="BW50" s="0">
        <f>IF(AND(BW$9&gt;=$E50,BW$9&lt;=$F50),"■","")</f>
      </c>
    </row>
    <row r="51">
      <c r="A51" s="0" t="inlineStr">
        <is>
          <t>P001-041</t>
        </is>
      </c>
      <c r="B51" s="0" t="inlineStr">
        <is>
          <t/>
        </is>
      </c>
      <c r="C51" s="0" t="inlineStr">
        <is>
          <t/>
        </is>
      </c>
      <c r="D51" s="0" t="inlineStr">
        <is>
          <t/>
        </is>
      </c>
      <c r="E51" s="0" t="inlineStr">
        <is>
          <t/>
        </is>
      </c>
      <c r="F51" s="0" t="inlineStr">
        <is>
          <t/>
        </is>
      </c>
      <c r="G51" s="0" t="inlineStr">
        <is>
          <t/>
        </is>
      </c>
      <c r="H51" s="0" t="inlineStr">
        <is>
          <t/>
        </is>
      </c>
      <c r="I51" s="0" t="inlineStr">
        <is>
          <t/>
        </is>
      </c>
      <c r="J51" s="0">
        <f>SUMIFS('Suivi Temps'!$D:$D,'Suivi Temps'!$A:$A,"P001-041")</f>
      </c>
      <c r="K51" s="0" t="inlineStr">
        <is>
          <t/>
        </is>
      </c>
      <c r="L51" s="0" t="inlineStr">
        <is>
          <t/>
        </is>
      </c>
      <c r="M51" s="0" t="inlineStr">
        <is>
          <t/>
        </is>
      </c>
      <c r="N51" s="0" t="inlineStr">
        <is>
          <t/>
        </is>
      </c>
      <c r="O51" s="0" t="inlineStr">
        <is>
          <t/>
        </is>
      </c>
      <c r="P51" s="0">
        <f>IF(AND(P$9&gt;=$E51,P$9&lt;=$F51),"■","")</f>
      </c>
      <c r="Q51" s="0">
        <f>IF(AND(Q$9&gt;=$E51,Q$9&lt;=$F51),"■","")</f>
      </c>
      <c r="R51" s="0">
        <f>IF(AND(R$9&gt;=$E51,R$9&lt;=$F51),"■","")</f>
      </c>
      <c r="S51" s="0">
        <f>IF(AND(S$9&gt;=$E51,S$9&lt;=$F51),"■","")</f>
      </c>
      <c r="T51" s="0">
        <f>IF(AND(T$9&gt;=$E51,T$9&lt;=$F51),"■","")</f>
      </c>
      <c r="U51" s="0">
        <f>IF(AND(U$9&gt;=$E51,U$9&lt;=$F51),"■","")</f>
      </c>
      <c r="V51" s="0">
        <f>IF(AND(V$9&gt;=$E51,V$9&lt;=$F51),"■","")</f>
      </c>
      <c r="W51" s="0">
        <f>IF(AND(W$9&gt;=$E51,W$9&lt;=$F51),"■","")</f>
      </c>
      <c r="X51" s="0">
        <f>IF(AND(X$9&gt;=$E51,X$9&lt;=$F51),"■","")</f>
      </c>
      <c r="Y51" s="0">
        <f>IF(AND(Y$9&gt;=$E51,Y$9&lt;=$F51),"■","")</f>
      </c>
      <c r="Z51" s="0">
        <f>IF(AND(Z$9&gt;=$E51,Z$9&lt;=$F51),"■","")</f>
      </c>
      <c r="AA51" s="0">
        <f>IF(AND(AA$9&gt;=$E51,AA$9&lt;=$F51),"■","")</f>
      </c>
      <c r="AB51" s="0">
        <f>IF(AND(AB$9&gt;=$E51,AB$9&lt;=$F51),"■","")</f>
      </c>
      <c r="AC51" s="0">
        <f>IF(AND(AC$9&gt;=$E51,AC$9&lt;=$F51),"■","")</f>
      </c>
      <c r="AD51" s="0">
        <f>IF(AND(AD$9&gt;=$E51,AD$9&lt;=$F51),"■","")</f>
      </c>
      <c r="AE51" s="0">
        <f>IF(AND(AE$9&gt;=$E51,AE$9&lt;=$F51),"■","")</f>
      </c>
      <c r="AF51" s="0">
        <f>IF(AND(AF$9&gt;=$E51,AF$9&lt;=$F51),"■","")</f>
      </c>
      <c r="AG51" s="0">
        <f>IF(AND(AG$9&gt;=$E51,AG$9&lt;=$F51),"■","")</f>
      </c>
      <c r="AH51" s="0">
        <f>IF(AND(AH$9&gt;=$E51,AH$9&lt;=$F51),"■","")</f>
      </c>
      <c r="AI51" s="0">
        <f>IF(AND(AI$9&gt;=$E51,AI$9&lt;=$F51),"■","")</f>
      </c>
      <c r="AJ51" s="0">
        <f>IF(AND(AJ$9&gt;=$E51,AJ$9&lt;=$F51),"■","")</f>
      </c>
      <c r="AK51" s="0">
        <f>IF(AND(AK$9&gt;=$E51,AK$9&lt;=$F51),"■","")</f>
      </c>
      <c r="AL51" s="0">
        <f>IF(AND(AL$9&gt;=$E51,AL$9&lt;=$F51),"■","")</f>
      </c>
      <c r="AM51" s="0">
        <f>IF(AND(AM$9&gt;=$E51,AM$9&lt;=$F51),"■","")</f>
      </c>
      <c r="AN51" s="0">
        <f>IF(AND(AN$9&gt;=$E51,AN$9&lt;=$F51),"■","")</f>
      </c>
      <c r="AO51" s="0">
        <f>IF(AND(AO$9&gt;=$E51,AO$9&lt;=$F51),"■","")</f>
      </c>
      <c r="AP51" s="0">
        <f>IF(AND(AP$9&gt;=$E51,AP$9&lt;=$F51),"■","")</f>
      </c>
      <c r="AQ51" s="0">
        <f>IF(AND(AQ$9&gt;=$E51,AQ$9&lt;=$F51),"■","")</f>
      </c>
      <c r="AR51" s="0">
        <f>IF(AND(AR$9&gt;=$E51,AR$9&lt;=$F51),"■","")</f>
      </c>
      <c r="AS51" s="0">
        <f>IF(AND(AS$9&gt;=$E51,AS$9&lt;=$F51),"■","")</f>
      </c>
      <c r="AT51" s="0">
        <f>IF(AND(AT$9&gt;=$E51,AT$9&lt;=$F51),"■","")</f>
      </c>
      <c r="AU51" s="0">
        <f>IF(AND(AU$9&gt;=$E51,AU$9&lt;=$F51),"■","")</f>
      </c>
      <c r="AV51" s="0">
        <f>IF(AND(AV$9&gt;=$E51,AV$9&lt;=$F51),"■","")</f>
      </c>
      <c r="AW51" s="0">
        <f>IF(AND(AW$9&gt;=$E51,AW$9&lt;=$F51),"■","")</f>
      </c>
      <c r="AX51" s="0">
        <f>IF(AND(AX$9&gt;=$E51,AX$9&lt;=$F51),"■","")</f>
      </c>
      <c r="AY51" s="0">
        <f>IF(AND(AY$9&gt;=$E51,AY$9&lt;=$F51),"■","")</f>
      </c>
      <c r="AZ51" s="0">
        <f>IF(AND(AZ$9&gt;=$E51,AZ$9&lt;=$F51),"■","")</f>
      </c>
      <c r="BA51" s="0">
        <f>IF(AND(BA$9&gt;=$E51,BA$9&lt;=$F51),"■","")</f>
      </c>
      <c r="BB51" s="0">
        <f>IF(AND(BB$9&gt;=$E51,BB$9&lt;=$F51),"■","")</f>
      </c>
      <c r="BC51" s="0">
        <f>IF(AND(BC$9&gt;=$E51,BC$9&lt;=$F51),"■","")</f>
      </c>
      <c r="BD51" s="0">
        <f>IF(AND(BD$9&gt;=$E51,BD$9&lt;=$F51),"■","")</f>
      </c>
      <c r="BE51" s="0">
        <f>IF(AND(BE$9&gt;=$E51,BE$9&lt;=$F51),"■","")</f>
      </c>
      <c r="BF51" s="0">
        <f>IF(AND(BF$9&gt;=$E51,BF$9&lt;=$F51),"■","")</f>
      </c>
      <c r="BG51" s="0">
        <f>IF(AND(BG$9&gt;=$E51,BG$9&lt;=$F51),"■","")</f>
      </c>
      <c r="BH51" s="0">
        <f>IF(AND(BH$9&gt;=$E51,BH$9&lt;=$F51),"■","")</f>
      </c>
      <c r="BI51" s="0">
        <f>IF(AND(BI$9&gt;=$E51,BI$9&lt;=$F51),"■","")</f>
      </c>
      <c r="BJ51" s="0">
        <f>IF(AND(BJ$9&gt;=$E51,BJ$9&lt;=$F51),"■","")</f>
      </c>
      <c r="BK51" s="0">
        <f>IF(AND(BK$9&gt;=$E51,BK$9&lt;=$F51),"■","")</f>
      </c>
      <c r="BL51" s="0">
        <f>IF(AND(BL$9&gt;=$E51,BL$9&lt;=$F51),"■","")</f>
      </c>
      <c r="BM51" s="0">
        <f>IF(AND(BM$9&gt;=$E51,BM$9&lt;=$F51),"■","")</f>
      </c>
      <c r="BN51" s="0">
        <f>IF(AND(BN$9&gt;=$E51,BN$9&lt;=$F51),"■","")</f>
      </c>
      <c r="BO51" s="0">
        <f>IF(AND(BO$9&gt;=$E51,BO$9&lt;=$F51),"■","")</f>
      </c>
      <c r="BP51" s="0">
        <f>IF(AND(BP$9&gt;=$E51,BP$9&lt;=$F51),"■","")</f>
      </c>
      <c r="BQ51" s="0">
        <f>IF(AND(BQ$9&gt;=$E51,BQ$9&lt;=$F51),"■","")</f>
      </c>
      <c r="BR51" s="0">
        <f>IF(AND(BR$9&gt;=$E51,BR$9&lt;=$F51),"■","")</f>
      </c>
      <c r="BS51" s="0">
        <f>IF(AND(BS$9&gt;=$E51,BS$9&lt;=$F51),"■","")</f>
      </c>
      <c r="BT51" s="0">
        <f>IF(AND(BT$9&gt;=$E51,BT$9&lt;=$F51),"■","")</f>
      </c>
      <c r="BU51" s="0">
        <f>IF(AND(BU$9&gt;=$E51,BU$9&lt;=$F51),"■","")</f>
      </c>
      <c r="BV51" s="0">
        <f>IF(AND(BV$9&gt;=$E51,BV$9&lt;=$F51),"■","")</f>
      </c>
      <c r="BW51" s="0">
        <f>IF(AND(BW$9&gt;=$E51,BW$9&lt;=$F51),"■","")</f>
      </c>
    </row>
    <row r="52">
      <c r="A52" s="0" t="inlineStr">
        <is>
          <t>P001-042</t>
        </is>
      </c>
      <c r="B52" s="0" t="inlineStr">
        <is>
          <t/>
        </is>
      </c>
      <c r="C52" s="0" t="inlineStr">
        <is>
          <t/>
        </is>
      </c>
      <c r="D52" s="0" t="inlineStr">
        <is>
          <t/>
        </is>
      </c>
      <c r="E52" s="0" t="inlineStr">
        <is>
          <t/>
        </is>
      </c>
      <c r="F52" s="0" t="inlineStr">
        <is>
          <t/>
        </is>
      </c>
      <c r="G52" s="0" t="inlineStr">
        <is>
          <t/>
        </is>
      </c>
      <c r="H52" s="0" t="inlineStr">
        <is>
          <t/>
        </is>
      </c>
      <c r="I52" s="0" t="inlineStr">
        <is>
          <t/>
        </is>
      </c>
      <c r="J52" s="0">
        <f>SUMIFS('Suivi Temps'!$D:$D,'Suivi Temps'!$A:$A,"P001-042")</f>
      </c>
      <c r="K52" s="0" t="inlineStr">
        <is>
          <t/>
        </is>
      </c>
      <c r="L52" s="0" t="inlineStr">
        <is>
          <t/>
        </is>
      </c>
      <c r="M52" s="0" t="inlineStr">
        <is>
          <t/>
        </is>
      </c>
      <c r="N52" s="0" t="inlineStr">
        <is>
          <t/>
        </is>
      </c>
      <c r="O52" s="0" t="inlineStr">
        <is>
          <t/>
        </is>
      </c>
      <c r="P52" s="0">
        <f>IF(AND(P$9&gt;=$E52,P$9&lt;=$F52),"■","")</f>
      </c>
      <c r="Q52" s="0">
        <f>IF(AND(Q$9&gt;=$E52,Q$9&lt;=$F52),"■","")</f>
      </c>
      <c r="R52" s="0">
        <f>IF(AND(R$9&gt;=$E52,R$9&lt;=$F52),"■","")</f>
      </c>
      <c r="S52" s="0">
        <f>IF(AND(S$9&gt;=$E52,S$9&lt;=$F52),"■","")</f>
      </c>
      <c r="T52" s="0">
        <f>IF(AND(T$9&gt;=$E52,T$9&lt;=$F52),"■","")</f>
      </c>
      <c r="U52" s="0">
        <f>IF(AND(U$9&gt;=$E52,U$9&lt;=$F52),"■","")</f>
      </c>
      <c r="V52" s="0">
        <f>IF(AND(V$9&gt;=$E52,V$9&lt;=$F52),"■","")</f>
      </c>
      <c r="W52" s="0">
        <f>IF(AND(W$9&gt;=$E52,W$9&lt;=$F52),"■","")</f>
      </c>
      <c r="X52" s="0">
        <f>IF(AND(X$9&gt;=$E52,X$9&lt;=$F52),"■","")</f>
      </c>
      <c r="Y52" s="0">
        <f>IF(AND(Y$9&gt;=$E52,Y$9&lt;=$F52),"■","")</f>
      </c>
      <c r="Z52" s="0">
        <f>IF(AND(Z$9&gt;=$E52,Z$9&lt;=$F52),"■","")</f>
      </c>
      <c r="AA52" s="0">
        <f>IF(AND(AA$9&gt;=$E52,AA$9&lt;=$F52),"■","")</f>
      </c>
      <c r="AB52" s="0">
        <f>IF(AND(AB$9&gt;=$E52,AB$9&lt;=$F52),"■","")</f>
      </c>
      <c r="AC52" s="0">
        <f>IF(AND(AC$9&gt;=$E52,AC$9&lt;=$F52),"■","")</f>
      </c>
      <c r="AD52" s="0">
        <f>IF(AND(AD$9&gt;=$E52,AD$9&lt;=$F52),"■","")</f>
      </c>
      <c r="AE52" s="0">
        <f>IF(AND(AE$9&gt;=$E52,AE$9&lt;=$F52),"■","")</f>
      </c>
      <c r="AF52" s="0">
        <f>IF(AND(AF$9&gt;=$E52,AF$9&lt;=$F52),"■","")</f>
      </c>
      <c r="AG52" s="0">
        <f>IF(AND(AG$9&gt;=$E52,AG$9&lt;=$F52),"■","")</f>
      </c>
      <c r="AH52" s="0">
        <f>IF(AND(AH$9&gt;=$E52,AH$9&lt;=$F52),"■","")</f>
      </c>
      <c r="AI52" s="0">
        <f>IF(AND(AI$9&gt;=$E52,AI$9&lt;=$F52),"■","")</f>
      </c>
      <c r="AJ52" s="0">
        <f>IF(AND(AJ$9&gt;=$E52,AJ$9&lt;=$F52),"■","")</f>
      </c>
      <c r="AK52" s="0">
        <f>IF(AND(AK$9&gt;=$E52,AK$9&lt;=$F52),"■","")</f>
      </c>
      <c r="AL52" s="0">
        <f>IF(AND(AL$9&gt;=$E52,AL$9&lt;=$F52),"■","")</f>
      </c>
      <c r="AM52" s="0">
        <f>IF(AND(AM$9&gt;=$E52,AM$9&lt;=$F52),"■","")</f>
      </c>
      <c r="AN52" s="0">
        <f>IF(AND(AN$9&gt;=$E52,AN$9&lt;=$F52),"■","")</f>
      </c>
      <c r="AO52" s="0">
        <f>IF(AND(AO$9&gt;=$E52,AO$9&lt;=$F52),"■","")</f>
      </c>
      <c r="AP52" s="0">
        <f>IF(AND(AP$9&gt;=$E52,AP$9&lt;=$F52),"■","")</f>
      </c>
      <c r="AQ52" s="0">
        <f>IF(AND(AQ$9&gt;=$E52,AQ$9&lt;=$F52),"■","")</f>
      </c>
      <c r="AR52" s="0">
        <f>IF(AND(AR$9&gt;=$E52,AR$9&lt;=$F52),"■","")</f>
      </c>
      <c r="AS52" s="0">
        <f>IF(AND(AS$9&gt;=$E52,AS$9&lt;=$F52),"■","")</f>
      </c>
      <c r="AT52" s="0">
        <f>IF(AND(AT$9&gt;=$E52,AT$9&lt;=$F52),"■","")</f>
      </c>
      <c r="AU52" s="0">
        <f>IF(AND(AU$9&gt;=$E52,AU$9&lt;=$F52),"■","")</f>
      </c>
      <c r="AV52" s="0">
        <f>IF(AND(AV$9&gt;=$E52,AV$9&lt;=$F52),"■","")</f>
      </c>
      <c r="AW52" s="0">
        <f>IF(AND(AW$9&gt;=$E52,AW$9&lt;=$F52),"■","")</f>
      </c>
      <c r="AX52" s="0">
        <f>IF(AND(AX$9&gt;=$E52,AX$9&lt;=$F52),"■","")</f>
      </c>
      <c r="AY52" s="0">
        <f>IF(AND(AY$9&gt;=$E52,AY$9&lt;=$F52),"■","")</f>
      </c>
      <c r="AZ52" s="0">
        <f>IF(AND(AZ$9&gt;=$E52,AZ$9&lt;=$F52),"■","")</f>
      </c>
      <c r="BA52" s="0">
        <f>IF(AND(BA$9&gt;=$E52,BA$9&lt;=$F52),"■","")</f>
      </c>
      <c r="BB52" s="0">
        <f>IF(AND(BB$9&gt;=$E52,BB$9&lt;=$F52),"■","")</f>
      </c>
      <c r="BC52" s="0">
        <f>IF(AND(BC$9&gt;=$E52,BC$9&lt;=$F52),"■","")</f>
      </c>
      <c r="BD52" s="0">
        <f>IF(AND(BD$9&gt;=$E52,BD$9&lt;=$F52),"■","")</f>
      </c>
      <c r="BE52" s="0">
        <f>IF(AND(BE$9&gt;=$E52,BE$9&lt;=$F52),"■","")</f>
      </c>
      <c r="BF52" s="0">
        <f>IF(AND(BF$9&gt;=$E52,BF$9&lt;=$F52),"■","")</f>
      </c>
      <c r="BG52" s="0">
        <f>IF(AND(BG$9&gt;=$E52,BG$9&lt;=$F52),"■","")</f>
      </c>
      <c r="BH52" s="0">
        <f>IF(AND(BH$9&gt;=$E52,BH$9&lt;=$F52),"■","")</f>
      </c>
      <c r="BI52" s="0">
        <f>IF(AND(BI$9&gt;=$E52,BI$9&lt;=$F52),"■","")</f>
      </c>
      <c r="BJ52" s="0">
        <f>IF(AND(BJ$9&gt;=$E52,BJ$9&lt;=$F52),"■","")</f>
      </c>
      <c r="BK52" s="0">
        <f>IF(AND(BK$9&gt;=$E52,BK$9&lt;=$F52),"■","")</f>
      </c>
      <c r="BL52" s="0">
        <f>IF(AND(BL$9&gt;=$E52,BL$9&lt;=$F52),"■","")</f>
      </c>
      <c r="BM52" s="0">
        <f>IF(AND(BM$9&gt;=$E52,BM$9&lt;=$F52),"■","")</f>
      </c>
      <c r="BN52" s="0">
        <f>IF(AND(BN$9&gt;=$E52,BN$9&lt;=$F52),"■","")</f>
      </c>
      <c r="BO52" s="0">
        <f>IF(AND(BO$9&gt;=$E52,BO$9&lt;=$F52),"■","")</f>
      </c>
      <c r="BP52" s="0">
        <f>IF(AND(BP$9&gt;=$E52,BP$9&lt;=$F52),"■","")</f>
      </c>
      <c r="BQ52" s="0">
        <f>IF(AND(BQ$9&gt;=$E52,BQ$9&lt;=$F52),"■","")</f>
      </c>
      <c r="BR52" s="0">
        <f>IF(AND(BR$9&gt;=$E52,BR$9&lt;=$F52),"■","")</f>
      </c>
      <c r="BS52" s="0">
        <f>IF(AND(BS$9&gt;=$E52,BS$9&lt;=$F52),"■","")</f>
      </c>
      <c r="BT52" s="0">
        <f>IF(AND(BT$9&gt;=$E52,BT$9&lt;=$F52),"■","")</f>
      </c>
      <c r="BU52" s="0">
        <f>IF(AND(BU$9&gt;=$E52,BU$9&lt;=$F52),"■","")</f>
      </c>
      <c r="BV52" s="0">
        <f>IF(AND(BV$9&gt;=$E52,BV$9&lt;=$F52),"■","")</f>
      </c>
      <c r="BW52" s="0">
        <f>IF(AND(BW$9&gt;=$E52,BW$9&lt;=$F52),"■","")</f>
      </c>
    </row>
    <row r="53">
      <c r="A53" s="0" t="inlineStr">
        <is>
          <t>P001-043</t>
        </is>
      </c>
      <c r="B53" s="0" t="inlineStr">
        <is>
          <t/>
        </is>
      </c>
      <c r="C53" s="0" t="inlineStr">
        <is>
          <t/>
        </is>
      </c>
      <c r="D53" s="0" t="inlineStr">
        <is>
          <t/>
        </is>
      </c>
      <c r="E53" s="0" t="inlineStr">
        <is>
          <t/>
        </is>
      </c>
      <c r="F53" s="0" t="inlineStr">
        <is>
          <t/>
        </is>
      </c>
      <c r="G53" s="0" t="inlineStr">
        <is>
          <t/>
        </is>
      </c>
      <c r="H53" s="0" t="inlineStr">
        <is>
          <t/>
        </is>
      </c>
      <c r="I53" s="0" t="inlineStr">
        <is>
          <t/>
        </is>
      </c>
      <c r="J53" s="0">
        <f>SUMIFS('Suivi Temps'!$D:$D,'Suivi Temps'!$A:$A,"P001-043")</f>
      </c>
      <c r="K53" s="0" t="inlineStr">
        <is>
          <t/>
        </is>
      </c>
      <c r="L53" s="0" t="inlineStr">
        <is>
          <t/>
        </is>
      </c>
      <c r="M53" s="0" t="inlineStr">
        <is>
          <t/>
        </is>
      </c>
      <c r="N53" s="0" t="inlineStr">
        <is>
          <t/>
        </is>
      </c>
      <c r="O53" s="0" t="inlineStr">
        <is>
          <t/>
        </is>
      </c>
      <c r="P53" s="0">
        <f>IF(AND(P$9&gt;=$E53,P$9&lt;=$F53),"■","")</f>
      </c>
      <c r="Q53" s="0">
        <f>IF(AND(Q$9&gt;=$E53,Q$9&lt;=$F53),"■","")</f>
      </c>
      <c r="R53" s="0">
        <f>IF(AND(R$9&gt;=$E53,R$9&lt;=$F53),"■","")</f>
      </c>
      <c r="S53" s="0">
        <f>IF(AND(S$9&gt;=$E53,S$9&lt;=$F53),"■","")</f>
      </c>
      <c r="T53" s="0">
        <f>IF(AND(T$9&gt;=$E53,T$9&lt;=$F53),"■","")</f>
      </c>
      <c r="U53" s="0">
        <f>IF(AND(U$9&gt;=$E53,U$9&lt;=$F53),"■","")</f>
      </c>
      <c r="V53" s="0">
        <f>IF(AND(V$9&gt;=$E53,V$9&lt;=$F53),"■","")</f>
      </c>
      <c r="W53" s="0">
        <f>IF(AND(W$9&gt;=$E53,W$9&lt;=$F53),"■","")</f>
      </c>
      <c r="X53" s="0">
        <f>IF(AND(X$9&gt;=$E53,X$9&lt;=$F53),"■","")</f>
      </c>
      <c r="Y53" s="0">
        <f>IF(AND(Y$9&gt;=$E53,Y$9&lt;=$F53),"■","")</f>
      </c>
      <c r="Z53" s="0">
        <f>IF(AND(Z$9&gt;=$E53,Z$9&lt;=$F53),"■","")</f>
      </c>
      <c r="AA53" s="0">
        <f>IF(AND(AA$9&gt;=$E53,AA$9&lt;=$F53),"■","")</f>
      </c>
      <c r="AB53" s="0">
        <f>IF(AND(AB$9&gt;=$E53,AB$9&lt;=$F53),"■","")</f>
      </c>
      <c r="AC53" s="0">
        <f>IF(AND(AC$9&gt;=$E53,AC$9&lt;=$F53),"■","")</f>
      </c>
      <c r="AD53" s="0">
        <f>IF(AND(AD$9&gt;=$E53,AD$9&lt;=$F53),"■","")</f>
      </c>
      <c r="AE53" s="0">
        <f>IF(AND(AE$9&gt;=$E53,AE$9&lt;=$F53),"■","")</f>
      </c>
      <c r="AF53" s="0">
        <f>IF(AND(AF$9&gt;=$E53,AF$9&lt;=$F53),"■","")</f>
      </c>
      <c r="AG53" s="0">
        <f>IF(AND(AG$9&gt;=$E53,AG$9&lt;=$F53),"■","")</f>
      </c>
      <c r="AH53" s="0">
        <f>IF(AND(AH$9&gt;=$E53,AH$9&lt;=$F53),"■","")</f>
      </c>
      <c r="AI53" s="0">
        <f>IF(AND(AI$9&gt;=$E53,AI$9&lt;=$F53),"■","")</f>
      </c>
      <c r="AJ53" s="0">
        <f>IF(AND(AJ$9&gt;=$E53,AJ$9&lt;=$F53),"■","")</f>
      </c>
      <c r="AK53" s="0">
        <f>IF(AND(AK$9&gt;=$E53,AK$9&lt;=$F53),"■","")</f>
      </c>
      <c r="AL53" s="0">
        <f>IF(AND(AL$9&gt;=$E53,AL$9&lt;=$F53),"■","")</f>
      </c>
      <c r="AM53" s="0">
        <f>IF(AND(AM$9&gt;=$E53,AM$9&lt;=$F53),"■","")</f>
      </c>
      <c r="AN53" s="0">
        <f>IF(AND(AN$9&gt;=$E53,AN$9&lt;=$F53),"■","")</f>
      </c>
      <c r="AO53" s="0">
        <f>IF(AND(AO$9&gt;=$E53,AO$9&lt;=$F53),"■","")</f>
      </c>
      <c r="AP53" s="0">
        <f>IF(AND(AP$9&gt;=$E53,AP$9&lt;=$F53),"■","")</f>
      </c>
      <c r="AQ53" s="0">
        <f>IF(AND(AQ$9&gt;=$E53,AQ$9&lt;=$F53),"■","")</f>
      </c>
      <c r="AR53" s="0">
        <f>IF(AND(AR$9&gt;=$E53,AR$9&lt;=$F53),"■","")</f>
      </c>
      <c r="AS53" s="0">
        <f>IF(AND(AS$9&gt;=$E53,AS$9&lt;=$F53),"■","")</f>
      </c>
      <c r="AT53" s="0">
        <f>IF(AND(AT$9&gt;=$E53,AT$9&lt;=$F53),"■","")</f>
      </c>
      <c r="AU53" s="0">
        <f>IF(AND(AU$9&gt;=$E53,AU$9&lt;=$F53),"■","")</f>
      </c>
      <c r="AV53" s="0">
        <f>IF(AND(AV$9&gt;=$E53,AV$9&lt;=$F53),"■","")</f>
      </c>
      <c r="AW53" s="0">
        <f>IF(AND(AW$9&gt;=$E53,AW$9&lt;=$F53),"■","")</f>
      </c>
      <c r="AX53" s="0">
        <f>IF(AND(AX$9&gt;=$E53,AX$9&lt;=$F53),"■","")</f>
      </c>
      <c r="AY53" s="0">
        <f>IF(AND(AY$9&gt;=$E53,AY$9&lt;=$F53),"■","")</f>
      </c>
      <c r="AZ53" s="0">
        <f>IF(AND(AZ$9&gt;=$E53,AZ$9&lt;=$F53),"■","")</f>
      </c>
      <c r="BA53" s="0">
        <f>IF(AND(BA$9&gt;=$E53,BA$9&lt;=$F53),"■","")</f>
      </c>
      <c r="BB53" s="0">
        <f>IF(AND(BB$9&gt;=$E53,BB$9&lt;=$F53),"■","")</f>
      </c>
      <c r="BC53" s="0">
        <f>IF(AND(BC$9&gt;=$E53,BC$9&lt;=$F53),"■","")</f>
      </c>
      <c r="BD53" s="0">
        <f>IF(AND(BD$9&gt;=$E53,BD$9&lt;=$F53),"■","")</f>
      </c>
      <c r="BE53" s="0">
        <f>IF(AND(BE$9&gt;=$E53,BE$9&lt;=$F53),"■","")</f>
      </c>
      <c r="BF53" s="0">
        <f>IF(AND(BF$9&gt;=$E53,BF$9&lt;=$F53),"■","")</f>
      </c>
      <c r="BG53" s="0">
        <f>IF(AND(BG$9&gt;=$E53,BG$9&lt;=$F53),"■","")</f>
      </c>
      <c r="BH53" s="0">
        <f>IF(AND(BH$9&gt;=$E53,BH$9&lt;=$F53),"■","")</f>
      </c>
      <c r="BI53" s="0">
        <f>IF(AND(BI$9&gt;=$E53,BI$9&lt;=$F53),"■","")</f>
      </c>
      <c r="BJ53" s="0">
        <f>IF(AND(BJ$9&gt;=$E53,BJ$9&lt;=$F53),"■","")</f>
      </c>
      <c r="BK53" s="0">
        <f>IF(AND(BK$9&gt;=$E53,BK$9&lt;=$F53),"■","")</f>
      </c>
      <c r="BL53" s="0">
        <f>IF(AND(BL$9&gt;=$E53,BL$9&lt;=$F53),"■","")</f>
      </c>
      <c r="BM53" s="0">
        <f>IF(AND(BM$9&gt;=$E53,BM$9&lt;=$F53),"■","")</f>
      </c>
      <c r="BN53" s="0">
        <f>IF(AND(BN$9&gt;=$E53,BN$9&lt;=$F53),"■","")</f>
      </c>
      <c r="BO53" s="0">
        <f>IF(AND(BO$9&gt;=$E53,BO$9&lt;=$F53),"■","")</f>
      </c>
      <c r="BP53" s="0">
        <f>IF(AND(BP$9&gt;=$E53,BP$9&lt;=$F53),"■","")</f>
      </c>
      <c r="BQ53" s="0">
        <f>IF(AND(BQ$9&gt;=$E53,BQ$9&lt;=$F53),"■","")</f>
      </c>
      <c r="BR53" s="0">
        <f>IF(AND(BR$9&gt;=$E53,BR$9&lt;=$F53),"■","")</f>
      </c>
      <c r="BS53" s="0">
        <f>IF(AND(BS$9&gt;=$E53,BS$9&lt;=$F53),"■","")</f>
      </c>
      <c r="BT53" s="0">
        <f>IF(AND(BT$9&gt;=$E53,BT$9&lt;=$F53),"■","")</f>
      </c>
      <c r="BU53" s="0">
        <f>IF(AND(BU$9&gt;=$E53,BU$9&lt;=$F53),"■","")</f>
      </c>
      <c r="BV53" s="0">
        <f>IF(AND(BV$9&gt;=$E53,BV$9&lt;=$F53),"■","")</f>
      </c>
      <c r="BW53" s="0">
        <f>IF(AND(BW$9&gt;=$E53,BW$9&lt;=$F53),"■","")</f>
      </c>
    </row>
    <row r="54">
      <c r="A54" s="0" t="inlineStr">
        <is>
          <t>P001-044</t>
        </is>
      </c>
      <c r="B54" s="0" t="inlineStr">
        <is>
          <t/>
        </is>
      </c>
      <c r="C54" s="0" t="inlineStr">
        <is>
          <t/>
        </is>
      </c>
      <c r="D54" s="0" t="inlineStr">
        <is>
          <t/>
        </is>
      </c>
      <c r="E54" s="0" t="inlineStr">
        <is>
          <t/>
        </is>
      </c>
      <c r="F54" s="0" t="inlineStr">
        <is>
          <t/>
        </is>
      </c>
      <c r="G54" s="0" t="inlineStr">
        <is>
          <t/>
        </is>
      </c>
      <c r="H54" s="0" t="inlineStr">
        <is>
          <t/>
        </is>
      </c>
      <c r="I54" s="0" t="inlineStr">
        <is>
          <t/>
        </is>
      </c>
      <c r="J54" s="0">
        <f>SUMIFS('Suivi Temps'!$D:$D,'Suivi Temps'!$A:$A,"P001-044")</f>
      </c>
      <c r="K54" s="0" t="inlineStr">
        <is>
          <t/>
        </is>
      </c>
      <c r="L54" s="0" t="inlineStr">
        <is>
          <t/>
        </is>
      </c>
      <c r="M54" s="0" t="inlineStr">
        <is>
          <t/>
        </is>
      </c>
      <c r="N54" s="0" t="inlineStr">
        <is>
          <t/>
        </is>
      </c>
      <c r="O54" s="0" t="inlineStr">
        <is>
          <t/>
        </is>
      </c>
      <c r="P54" s="0">
        <f>IF(AND(P$9&gt;=$E54,P$9&lt;=$F54),"■","")</f>
      </c>
      <c r="Q54" s="0">
        <f>IF(AND(Q$9&gt;=$E54,Q$9&lt;=$F54),"■","")</f>
      </c>
      <c r="R54" s="0">
        <f>IF(AND(R$9&gt;=$E54,R$9&lt;=$F54),"■","")</f>
      </c>
      <c r="S54" s="0">
        <f>IF(AND(S$9&gt;=$E54,S$9&lt;=$F54),"■","")</f>
      </c>
      <c r="T54" s="0">
        <f>IF(AND(T$9&gt;=$E54,T$9&lt;=$F54),"■","")</f>
      </c>
      <c r="U54" s="0">
        <f>IF(AND(U$9&gt;=$E54,U$9&lt;=$F54),"■","")</f>
      </c>
      <c r="V54" s="0">
        <f>IF(AND(V$9&gt;=$E54,V$9&lt;=$F54),"■","")</f>
      </c>
      <c r="W54" s="0">
        <f>IF(AND(W$9&gt;=$E54,W$9&lt;=$F54),"■","")</f>
      </c>
      <c r="X54" s="0">
        <f>IF(AND(X$9&gt;=$E54,X$9&lt;=$F54),"■","")</f>
      </c>
      <c r="Y54" s="0">
        <f>IF(AND(Y$9&gt;=$E54,Y$9&lt;=$F54),"■","")</f>
      </c>
      <c r="Z54" s="0">
        <f>IF(AND(Z$9&gt;=$E54,Z$9&lt;=$F54),"■","")</f>
      </c>
      <c r="AA54" s="0">
        <f>IF(AND(AA$9&gt;=$E54,AA$9&lt;=$F54),"■","")</f>
      </c>
      <c r="AB54" s="0">
        <f>IF(AND(AB$9&gt;=$E54,AB$9&lt;=$F54),"■","")</f>
      </c>
      <c r="AC54" s="0">
        <f>IF(AND(AC$9&gt;=$E54,AC$9&lt;=$F54),"■","")</f>
      </c>
      <c r="AD54" s="0">
        <f>IF(AND(AD$9&gt;=$E54,AD$9&lt;=$F54),"■","")</f>
      </c>
      <c r="AE54" s="0">
        <f>IF(AND(AE$9&gt;=$E54,AE$9&lt;=$F54),"■","")</f>
      </c>
      <c r="AF54" s="0">
        <f>IF(AND(AF$9&gt;=$E54,AF$9&lt;=$F54),"■","")</f>
      </c>
      <c r="AG54" s="0">
        <f>IF(AND(AG$9&gt;=$E54,AG$9&lt;=$F54),"■","")</f>
      </c>
      <c r="AH54" s="0">
        <f>IF(AND(AH$9&gt;=$E54,AH$9&lt;=$F54),"■","")</f>
      </c>
      <c r="AI54" s="0">
        <f>IF(AND(AI$9&gt;=$E54,AI$9&lt;=$F54),"■","")</f>
      </c>
      <c r="AJ54" s="0">
        <f>IF(AND(AJ$9&gt;=$E54,AJ$9&lt;=$F54),"■","")</f>
      </c>
      <c r="AK54" s="0">
        <f>IF(AND(AK$9&gt;=$E54,AK$9&lt;=$F54),"■","")</f>
      </c>
      <c r="AL54" s="0">
        <f>IF(AND(AL$9&gt;=$E54,AL$9&lt;=$F54),"■","")</f>
      </c>
      <c r="AM54" s="0">
        <f>IF(AND(AM$9&gt;=$E54,AM$9&lt;=$F54),"■","")</f>
      </c>
      <c r="AN54" s="0">
        <f>IF(AND(AN$9&gt;=$E54,AN$9&lt;=$F54),"■","")</f>
      </c>
      <c r="AO54" s="0">
        <f>IF(AND(AO$9&gt;=$E54,AO$9&lt;=$F54),"■","")</f>
      </c>
      <c r="AP54" s="0">
        <f>IF(AND(AP$9&gt;=$E54,AP$9&lt;=$F54),"■","")</f>
      </c>
      <c r="AQ54" s="0">
        <f>IF(AND(AQ$9&gt;=$E54,AQ$9&lt;=$F54),"■","")</f>
      </c>
      <c r="AR54" s="0">
        <f>IF(AND(AR$9&gt;=$E54,AR$9&lt;=$F54),"■","")</f>
      </c>
      <c r="AS54" s="0">
        <f>IF(AND(AS$9&gt;=$E54,AS$9&lt;=$F54),"■","")</f>
      </c>
      <c r="AT54" s="0">
        <f>IF(AND(AT$9&gt;=$E54,AT$9&lt;=$F54),"■","")</f>
      </c>
      <c r="AU54" s="0">
        <f>IF(AND(AU$9&gt;=$E54,AU$9&lt;=$F54),"■","")</f>
      </c>
      <c r="AV54" s="0">
        <f>IF(AND(AV$9&gt;=$E54,AV$9&lt;=$F54),"■","")</f>
      </c>
      <c r="AW54" s="0">
        <f>IF(AND(AW$9&gt;=$E54,AW$9&lt;=$F54),"■","")</f>
      </c>
      <c r="AX54" s="0">
        <f>IF(AND(AX$9&gt;=$E54,AX$9&lt;=$F54),"■","")</f>
      </c>
      <c r="AY54" s="0">
        <f>IF(AND(AY$9&gt;=$E54,AY$9&lt;=$F54),"■","")</f>
      </c>
      <c r="AZ54" s="0">
        <f>IF(AND(AZ$9&gt;=$E54,AZ$9&lt;=$F54),"■","")</f>
      </c>
      <c r="BA54" s="0">
        <f>IF(AND(BA$9&gt;=$E54,BA$9&lt;=$F54),"■","")</f>
      </c>
      <c r="BB54" s="0">
        <f>IF(AND(BB$9&gt;=$E54,BB$9&lt;=$F54),"■","")</f>
      </c>
      <c r="BC54" s="0">
        <f>IF(AND(BC$9&gt;=$E54,BC$9&lt;=$F54),"■","")</f>
      </c>
      <c r="BD54" s="0">
        <f>IF(AND(BD$9&gt;=$E54,BD$9&lt;=$F54),"■","")</f>
      </c>
      <c r="BE54" s="0">
        <f>IF(AND(BE$9&gt;=$E54,BE$9&lt;=$F54),"■","")</f>
      </c>
      <c r="BF54" s="0">
        <f>IF(AND(BF$9&gt;=$E54,BF$9&lt;=$F54),"■","")</f>
      </c>
      <c r="BG54" s="0">
        <f>IF(AND(BG$9&gt;=$E54,BG$9&lt;=$F54),"■","")</f>
      </c>
      <c r="BH54" s="0">
        <f>IF(AND(BH$9&gt;=$E54,BH$9&lt;=$F54),"■","")</f>
      </c>
      <c r="BI54" s="0">
        <f>IF(AND(BI$9&gt;=$E54,BI$9&lt;=$F54),"■","")</f>
      </c>
      <c r="BJ54" s="0">
        <f>IF(AND(BJ$9&gt;=$E54,BJ$9&lt;=$F54),"■","")</f>
      </c>
      <c r="BK54" s="0">
        <f>IF(AND(BK$9&gt;=$E54,BK$9&lt;=$F54),"■","")</f>
      </c>
      <c r="BL54" s="0">
        <f>IF(AND(BL$9&gt;=$E54,BL$9&lt;=$F54),"■","")</f>
      </c>
      <c r="BM54" s="0">
        <f>IF(AND(BM$9&gt;=$E54,BM$9&lt;=$F54),"■","")</f>
      </c>
      <c r="BN54" s="0">
        <f>IF(AND(BN$9&gt;=$E54,BN$9&lt;=$F54),"■","")</f>
      </c>
      <c r="BO54" s="0">
        <f>IF(AND(BO$9&gt;=$E54,BO$9&lt;=$F54),"■","")</f>
      </c>
      <c r="BP54" s="0">
        <f>IF(AND(BP$9&gt;=$E54,BP$9&lt;=$F54),"■","")</f>
      </c>
      <c r="BQ54" s="0">
        <f>IF(AND(BQ$9&gt;=$E54,BQ$9&lt;=$F54),"■","")</f>
      </c>
      <c r="BR54" s="0">
        <f>IF(AND(BR$9&gt;=$E54,BR$9&lt;=$F54),"■","")</f>
      </c>
      <c r="BS54" s="0">
        <f>IF(AND(BS$9&gt;=$E54,BS$9&lt;=$F54),"■","")</f>
      </c>
      <c r="BT54" s="0">
        <f>IF(AND(BT$9&gt;=$E54,BT$9&lt;=$F54),"■","")</f>
      </c>
      <c r="BU54" s="0">
        <f>IF(AND(BU$9&gt;=$E54,BU$9&lt;=$F54),"■","")</f>
      </c>
      <c r="BV54" s="0">
        <f>IF(AND(BV$9&gt;=$E54,BV$9&lt;=$F54),"■","")</f>
      </c>
      <c r="BW54" s="0">
        <f>IF(AND(BW$9&gt;=$E54,BW$9&lt;=$F54),"■","")</f>
      </c>
    </row>
    <row r="55">
      <c r="A55" s="0" t="inlineStr">
        <is>
          <t>P001-045</t>
        </is>
      </c>
      <c r="B55" s="0" t="inlineStr">
        <is>
          <t/>
        </is>
      </c>
      <c r="C55" s="0" t="inlineStr">
        <is>
          <t/>
        </is>
      </c>
      <c r="D55" s="0" t="inlineStr">
        <is>
          <t/>
        </is>
      </c>
      <c r="E55" s="0" t="inlineStr">
        <is>
          <t/>
        </is>
      </c>
      <c r="F55" s="0" t="inlineStr">
        <is>
          <t/>
        </is>
      </c>
      <c r="G55" s="0" t="inlineStr">
        <is>
          <t/>
        </is>
      </c>
      <c r="H55" s="0" t="inlineStr">
        <is>
          <t/>
        </is>
      </c>
      <c r="I55" s="0" t="inlineStr">
        <is>
          <t/>
        </is>
      </c>
      <c r="J55" s="0">
        <f>SUMIFS('Suivi Temps'!$D:$D,'Suivi Temps'!$A:$A,"P001-045")</f>
      </c>
      <c r="K55" s="0" t="inlineStr">
        <is>
          <t/>
        </is>
      </c>
      <c r="L55" s="0" t="inlineStr">
        <is>
          <t/>
        </is>
      </c>
      <c r="M55" s="0" t="inlineStr">
        <is>
          <t/>
        </is>
      </c>
      <c r="N55" s="0" t="inlineStr">
        <is>
          <t/>
        </is>
      </c>
      <c r="O55" s="0" t="inlineStr">
        <is>
          <t/>
        </is>
      </c>
      <c r="P55" s="0">
        <f>IF(AND(P$9&gt;=$E55,P$9&lt;=$F55),"■","")</f>
      </c>
      <c r="Q55" s="0">
        <f>IF(AND(Q$9&gt;=$E55,Q$9&lt;=$F55),"■","")</f>
      </c>
      <c r="R55" s="0">
        <f>IF(AND(R$9&gt;=$E55,R$9&lt;=$F55),"■","")</f>
      </c>
      <c r="S55" s="0">
        <f>IF(AND(S$9&gt;=$E55,S$9&lt;=$F55),"■","")</f>
      </c>
      <c r="T55" s="0">
        <f>IF(AND(T$9&gt;=$E55,T$9&lt;=$F55),"■","")</f>
      </c>
      <c r="U55" s="0">
        <f>IF(AND(U$9&gt;=$E55,U$9&lt;=$F55),"■","")</f>
      </c>
      <c r="V55" s="0">
        <f>IF(AND(V$9&gt;=$E55,V$9&lt;=$F55),"■","")</f>
      </c>
      <c r="W55" s="0">
        <f>IF(AND(W$9&gt;=$E55,W$9&lt;=$F55),"■","")</f>
      </c>
      <c r="X55" s="0">
        <f>IF(AND(X$9&gt;=$E55,X$9&lt;=$F55),"■","")</f>
      </c>
      <c r="Y55" s="0">
        <f>IF(AND(Y$9&gt;=$E55,Y$9&lt;=$F55),"■","")</f>
      </c>
      <c r="Z55" s="0">
        <f>IF(AND(Z$9&gt;=$E55,Z$9&lt;=$F55),"■","")</f>
      </c>
      <c r="AA55" s="0">
        <f>IF(AND(AA$9&gt;=$E55,AA$9&lt;=$F55),"■","")</f>
      </c>
      <c r="AB55" s="0">
        <f>IF(AND(AB$9&gt;=$E55,AB$9&lt;=$F55),"■","")</f>
      </c>
      <c r="AC55" s="0">
        <f>IF(AND(AC$9&gt;=$E55,AC$9&lt;=$F55),"■","")</f>
      </c>
      <c r="AD55" s="0">
        <f>IF(AND(AD$9&gt;=$E55,AD$9&lt;=$F55),"■","")</f>
      </c>
      <c r="AE55" s="0">
        <f>IF(AND(AE$9&gt;=$E55,AE$9&lt;=$F55),"■","")</f>
      </c>
      <c r="AF55" s="0">
        <f>IF(AND(AF$9&gt;=$E55,AF$9&lt;=$F55),"■","")</f>
      </c>
      <c r="AG55" s="0">
        <f>IF(AND(AG$9&gt;=$E55,AG$9&lt;=$F55),"■","")</f>
      </c>
      <c r="AH55" s="0">
        <f>IF(AND(AH$9&gt;=$E55,AH$9&lt;=$F55),"■","")</f>
      </c>
      <c r="AI55" s="0">
        <f>IF(AND(AI$9&gt;=$E55,AI$9&lt;=$F55),"■","")</f>
      </c>
      <c r="AJ55" s="0">
        <f>IF(AND(AJ$9&gt;=$E55,AJ$9&lt;=$F55),"■","")</f>
      </c>
      <c r="AK55" s="0">
        <f>IF(AND(AK$9&gt;=$E55,AK$9&lt;=$F55),"■","")</f>
      </c>
      <c r="AL55" s="0">
        <f>IF(AND(AL$9&gt;=$E55,AL$9&lt;=$F55),"■","")</f>
      </c>
      <c r="AM55" s="0">
        <f>IF(AND(AM$9&gt;=$E55,AM$9&lt;=$F55),"■","")</f>
      </c>
      <c r="AN55" s="0">
        <f>IF(AND(AN$9&gt;=$E55,AN$9&lt;=$F55),"■","")</f>
      </c>
      <c r="AO55" s="0">
        <f>IF(AND(AO$9&gt;=$E55,AO$9&lt;=$F55),"■","")</f>
      </c>
      <c r="AP55" s="0">
        <f>IF(AND(AP$9&gt;=$E55,AP$9&lt;=$F55),"■","")</f>
      </c>
      <c r="AQ55" s="0">
        <f>IF(AND(AQ$9&gt;=$E55,AQ$9&lt;=$F55),"■","")</f>
      </c>
      <c r="AR55" s="0">
        <f>IF(AND(AR$9&gt;=$E55,AR$9&lt;=$F55),"■","")</f>
      </c>
      <c r="AS55" s="0">
        <f>IF(AND(AS$9&gt;=$E55,AS$9&lt;=$F55),"■","")</f>
      </c>
      <c r="AT55" s="0">
        <f>IF(AND(AT$9&gt;=$E55,AT$9&lt;=$F55),"■","")</f>
      </c>
      <c r="AU55" s="0">
        <f>IF(AND(AU$9&gt;=$E55,AU$9&lt;=$F55),"■","")</f>
      </c>
      <c r="AV55" s="0">
        <f>IF(AND(AV$9&gt;=$E55,AV$9&lt;=$F55),"■","")</f>
      </c>
      <c r="AW55" s="0">
        <f>IF(AND(AW$9&gt;=$E55,AW$9&lt;=$F55),"■","")</f>
      </c>
      <c r="AX55" s="0">
        <f>IF(AND(AX$9&gt;=$E55,AX$9&lt;=$F55),"■","")</f>
      </c>
      <c r="AY55" s="0">
        <f>IF(AND(AY$9&gt;=$E55,AY$9&lt;=$F55),"■","")</f>
      </c>
      <c r="AZ55" s="0">
        <f>IF(AND(AZ$9&gt;=$E55,AZ$9&lt;=$F55),"■","")</f>
      </c>
      <c r="BA55" s="0">
        <f>IF(AND(BA$9&gt;=$E55,BA$9&lt;=$F55),"■","")</f>
      </c>
      <c r="BB55" s="0">
        <f>IF(AND(BB$9&gt;=$E55,BB$9&lt;=$F55),"■","")</f>
      </c>
      <c r="BC55" s="0">
        <f>IF(AND(BC$9&gt;=$E55,BC$9&lt;=$F55),"■","")</f>
      </c>
      <c r="BD55" s="0">
        <f>IF(AND(BD$9&gt;=$E55,BD$9&lt;=$F55),"■","")</f>
      </c>
      <c r="BE55" s="0">
        <f>IF(AND(BE$9&gt;=$E55,BE$9&lt;=$F55),"■","")</f>
      </c>
      <c r="BF55" s="0">
        <f>IF(AND(BF$9&gt;=$E55,BF$9&lt;=$F55),"■","")</f>
      </c>
      <c r="BG55" s="0">
        <f>IF(AND(BG$9&gt;=$E55,BG$9&lt;=$F55),"■","")</f>
      </c>
      <c r="BH55" s="0">
        <f>IF(AND(BH$9&gt;=$E55,BH$9&lt;=$F55),"■","")</f>
      </c>
      <c r="BI55" s="0">
        <f>IF(AND(BI$9&gt;=$E55,BI$9&lt;=$F55),"■","")</f>
      </c>
      <c r="BJ55" s="0">
        <f>IF(AND(BJ$9&gt;=$E55,BJ$9&lt;=$F55),"■","")</f>
      </c>
      <c r="BK55" s="0">
        <f>IF(AND(BK$9&gt;=$E55,BK$9&lt;=$F55),"■","")</f>
      </c>
      <c r="BL55" s="0">
        <f>IF(AND(BL$9&gt;=$E55,BL$9&lt;=$F55),"■","")</f>
      </c>
      <c r="BM55" s="0">
        <f>IF(AND(BM$9&gt;=$E55,BM$9&lt;=$F55),"■","")</f>
      </c>
      <c r="BN55" s="0">
        <f>IF(AND(BN$9&gt;=$E55,BN$9&lt;=$F55),"■","")</f>
      </c>
      <c r="BO55" s="0">
        <f>IF(AND(BO$9&gt;=$E55,BO$9&lt;=$F55),"■","")</f>
      </c>
      <c r="BP55" s="0">
        <f>IF(AND(BP$9&gt;=$E55,BP$9&lt;=$F55),"■","")</f>
      </c>
      <c r="BQ55" s="0">
        <f>IF(AND(BQ$9&gt;=$E55,BQ$9&lt;=$F55),"■","")</f>
      </c>
      <c r="BR55" s="0">
        <f>IF(AND(BR$9&gt;=$E55,BR$9&lt;=$F55),"■","")</f>
      </c>
      <c r="BS55" s="0">
        <f>IF(AND(BS$9&gt;=$E55,BS$9&lt;=$F55),"■","")</f>
      </c>
      <c r="BT55" s="0">
        <f>IF(AND(BT$9&gt;=$E55,BT$9&lt;=$F55),"■","")</f>
      </c>
      <c r="BU55" s="0">
        <f>IF(AND(BU$9&gt;=$E55,BU$9&lt;=$F55),"■","")</f>
      </c>
      <c r="BV55" s="0">
        <f>IF(AND(BV$9&gt;=$E55,BV$9&lt;=$F55),"■","")</f>
      </c>
      <c r="BW55" s="0">
        <f>IF(AND(BW$9&gt;=$E55,BW$9&lt;=$F55),"■","")</f>
      </c>
    </row>
    <row r="56">
      <c r="A56" s="0" t="inlineStr">
        <is>
          <t>P001-046</t>
        </is>
      </c>
      <c r="B56" s="0" t="inlineStr">
        <is>
          <t/>
        </is>
      </c>
      <c r="C56" s="0" t="inlineStr">
        <is>
          <t/>
        </is>
      </c>
      <c r="D56" s="0" t="inlineStr">
        <is>
          <t/>
        </is>
      </c>
      <c r="E56" s="0" t="inlineStr">
        <is>
          <t/>
        </is>
      </c>
      <c r="F56" s="0" t="inlineStr">
        <is>
          <t/>
        </is>
      </c>
      <c r="G56" s="0" t="inlineStr">
        <is>
          <t/>
        </is>
      </c>
      <c r="H56" s="0" t="inlineStr">
        <is>
          <t/>
        </is>
      </c>
      <c r="I56" s="0" t="inlineStr">
        <is>
          <t/>
        </is>
      </c>
      <c r="J56" s="0">
        <f>SUMIFS('Suivi Temps'!$D:$D,'Suivi Temps'!$A:$A,"P001-046")</f>
      </c>
      <c r="K56" s="0" t="inlineStr">
        <is>
          <t/>
        </is>
      </c>
      <c r="L56" s="0" t="inlineStr">
        <is>
          <t/>
        </is>
      </c>
      <c r="M56" s="0" t="inlineStr">
        <is>
          <t/>
        </is>
      </c>
      <c r="N56" s="0" t="inlineStr">
        <is>
          <t/>
        </is>
      </c>
      <c r="O56" s="0" t="inlineStr">
        <is>
          <t/>
        </is>
      </c>
      <c r="P56" s="0">
        <f>IF(AND(P$9&gt;=$E56,P$9&lt;=$F56),"■","")</f>
      </c>
      <c r="Q56" s="0">
        <f>IF(AND(Q$9&gt;=$E56,Q$9&lt;=$F56),"■","")</f>
      </c>
      <c r="R56" s="0">
        <f>IF(AND(R$9&gt;=$E56,R$9&lt;=$F56),"■","")</f>
      </c>
      <c r="S56" s="0">
        <f>IF(AND(S$9&gt;=$E56,S$9&lt;=$F56),"■","")</f>
      </c>
      <c r="T56" s="0">
        <f>IF(AND(T$9&gt;=$E56,T$9&lt;=$F56),"■","")</f>
      </c>
      <c r="U56" s="0">
        <f>IF(AND(U$9&gt;=$E56,U$9&lt;=$F56),"■","")</f>
      </c>
      <c r="V56" s="0">
        <f>IF(AND(V$9&gt;=$E56,V$9&lt;=$F56),"■","")</f>
      </c>
      <c r="W56" s="0">
        <f>IF(AND(W$9&gt;=$E56,W$9&lt;=$F56),"■","")</f>
      </c>
      <c r="X56" s="0">
        <f>IF(AND(X$9&gt;=$E56,X$9&lt;=$F56),"■","")</f>
      </c>
      <c r="Y56" s="0">
        <f>IF(AND(Y$9&gt;=$E56,Y$9&lt;=$F56),"■","")</f>
      </c>
      <c r="Z56" s="0">
        <f>IF(AND(Z$9&gt;=$E56,Z$9&lt;=$F56),"■","")</f>
      </c>
      <c r="AA56" s="0">
        <f>IF(AND(AA$9&gt;=$E56,AA$9&lt;=$F56),"■","")</f>
      </c>
      <c r="AB56" s="0">
        <f>IF(AND(AB$9&gt;=$E56,AB$9&lt;=$F56),"■","")</f>
      </c>
      <c r="AC56" s="0">
        <f>IF(AND(AC$9&gt;=$E56,AC$9&lt;=$F56),"■","")</f>
      </c>
      <c r="AD56" s="0">
        <f>IF(AND(AD$9&gt;=$E56,AD$9&lt;=$F56),"■","")</f>
      </c>
      <c r="AE56" s="0">
        <f>IF(AND(AE$9&gt;=$E56,AE$9&lt;=$F56),"■","")</f>
      </c>
      <c r="AF56" s="0">
        <f>IF(AND(AF$9&gt;=$E56,AF$9&lt;=$F56),"■","")</f>
      </c>
      <c r="AG56" s="0">
        <f>IF(AND(AG$9&gt;=$E56,AG$9&lt;=$F56),"■","")</f>
      </c>
      <c r="AH56" s="0">
        <f>IF(AND(AH$9&gt;=$E56,AH$9&lt;=$F56),"■","")</f>
      </c>
      <c r="AI56" s="0">
        <f>IF(AND(AI$9&gt;=$E56,AI$9&lt;=$F56),"■","")</f>
      </c>
      <c r="AJ56" s="0">
        <f>IF(AND(AJ$9&gt;=$E56,AJ$9&lt;=$F56),"■","")</f>
      </c>
      <c r="AK56" s="0">
        <f>IF(AND(AK$9&gt;=$E56,AK$9&lt;=$F56),"■","")</f>
      </c>
      <c r="AL56" s="0">
        <f>IF(AND(AL$9&gt;=$E56,AL$9&lt;=$F56),"■","")</f>
      </c>
      <c r="AM56" s="0">
        <f>IF(AND(AM$9&gt;=$E56,AM$9&lt;=$F56),"■","")</f>
      </c>
      <c r="AN56" s="0">
        <f>IF(AND(AN$9&gt;=$E56,AN$9&lt;=$F56),"■","")</f>
      </c>
      <c r="AO56" s="0">
        <f>IF(AND(AO$9&gt;=$E56,AO$9&lt;=$F56),"■","")</f>
      </c>
      <c r="AP56" s="0">
        <f>IF(AND(AP$9&gt;=$E56,AP$9&lt;=$F56),"■","")</f>
      </c>
      <c r="AQ56" s="0">
        <f>IF(AND(AQ$9&gt;=$E56,AQ$9&lt;=$F56),"■","")</f>
      </c>
      <c r="AR56" s="0">
        <f>IF(AND(AR$9&gt;=$E56,AR$9&lt;=$F56),"■","")</f>
      </c>
      <c r="AS56" s="0">
        <f>IF(AND(AS$9&gt;=$E56,AS$9&lt;=$F56),"■","")</f>
      </c>
      <c r="AT56" s="0">
        <f>IF(AND(AT$9&gt;=$E56,AT$9&lt;=$F56),"■","")</f>
      </c>
      <c r="AU56" s="0">
        <f>IF(AND(AU$9&gt;=$E56,AU$9&lt;=$F56),"■","")</f>
      </c>
      <c r="AV56" s="0">
        <f>IF(AND(AV$9&gt;=$E56,AV$9&lt;=$F56),"■","")</f>
      </c>
      <c r="AW56" s="0">
        <f>IF(AND(AW$9&gt;=$E56,AW$9&lt;=$F56),"■","")</f>
      </c>
      <c r="AX56" s="0">
        <f>IF(AND(AX$9&gt;=$E56,AX$9&lt;=$F56),"■","")</f>
      </c>
      <c r="AY56" s="0">
        <f>IF(AND(AY$9&gt;=$E56,AY$9&lt;=$F56),"■","")</f>
      </c>
      <c r="AZ56" s="0">
        <f>IF(AND(AZ$9&gt;=$E56,AZ$9&lt;=$F56),"■","")</f>
      </c>
      <c r="BA56" s="0">
        <f>IF(AND(BA$9&gt;=$E56,BA$9&lt;=$F56),"■","")</f>
      </c>
      <c r="BB56" s="0">
        <f>IF(AND(BB$9&gt;=$E56,BB$9&lt;=$F56),"■","")</f>
      </c>
      <c r="BC56" s="0">
        <f>IF(AND(BC$9&gt;=$E56,BC$9&lt;=$F56),"■","")</f>
      </c>
      <c r="BD56" s="0">
        <f>IF(AND(BD$9&gt;=$E56,BD$9&lt;=$F56),"■","")</f>
      </c>
      <c r="BE56" s="0">
        <f>IF(AND(BE$9&gt;=$E56,BE$9&lt;=$F56),"■","")</f>
      </c>
      <c r="BF56" s="0">
        <f>IF(AND(BF$9&gt;=$E56,BF$9&lt;=$F56),"■","")</f>
      </c>
      <c r="BG56" s="0">
        <f>IF(AND(BG$9&gt;=$E56,BG$9&lt;=$F56),"■","")</f>
      </c>
      <c r="BH56" s="0">
        <f>IF(AND(BH$9&gt;=$E56,BH$9&lt;=$F56),"■","")</f>
      </c>
      <c r="BI56" s="0">
        <f>IF(AND(BI$9&gt;=$E56,BI$9&lt;=$F56),"■","")</f>
      </c>
      <c r="BJ56" s="0">
        <f>IF(AND(BJ$9&gt;=$E56,BJ$9&lt;=$F56),"■","")</f>
      </c>
      <c r="BK56" s="0">
        <f>IF(AND(BK$9&gt;=$E56,BK$9&lt;=$F56),"■","")</f>
      </c>
      <c r="BL56" s="0">
        <f>IF(AND(BL$9&gt;=$E56,BL$9&lt;=$F56),"■","")</f>
      </c>
      <c r="BM56" s="0">
        <f>IF(AND(BM$9&gt;=$E56,BM$9&lt;=$F56),"■","")</f>
      </c>
      <c r="BN56" s="0">
        <f>IF(AND(BN$9&gt;=$E56,BN$9&lt;=$F56),"■","")</f>
      </c>
      <c r="BO56" s="0">
        <f>IF(AND(BO$9&gt;=$E56,BO$9&lt;=$F56),"■","")</f>
      </c>
      <c r="BP56" s="0">
        <f>IF(AND(BP$9&gt;=$E56,BP$9&lt;=$F56),"■","")</f>
      </c>
      <c r="BQ56" s="0">
        <f>IF(AND(BQ$9&gt;=$E56,BQ$9&lt;=$F56),"■","")</f>
      </c>
      <c r="BR56" s="0">
        <f>IF(AND(BR$9&gt;=$E56,BR$9&lt;=$F56),"■","")</f>
      </c>
      <c r="BS56" s="0">
        <f>IF(AND(BS$9&gt;=$E56,BS$9&lt;=$F56),"■","")</f>
      </c>
      <c r="BT56" s="0">
        <f>IF(AND(BT$9&gt;=$E56,BT$9&lt;=$F56),"■","")</f>
      </c>
      <c r="BU56" s="0">
        <f>IF(AND(BU$9&gt;=$E56,BU$9&lt;=$F56),"■","")</f>
      </c>
      <c r="BV56" s="0">
        <f>IF(AND(BV$9&gt;=$E56,BV$9&lt;=$F56),"■","")</f>
      </c>
      <c r="BW56" s="0">
        <f>IF(AND(BW$9&gt;=$E56,BW$9&lt;=$F56),"■","")</f>
      </c>
    </row>
    <row r="57">
      <c r="A57" s="0" t="inlineStr">
        <is>
          <t>P001-047</t>
        </is>
      </c>
      <c r="B57" s="0" t="inlineStr">
        <is>
          <t/>
        </is>
      </c>
      <c r="C57" s="0" t="inlineStr">
        <is>
          <t/>
        </is>
      </c>
      <c r="D57" s="0" t="inlineStr">
        <is>
          <t/>
        </is>
      </c>
      <c r="E57" s="0" t="inlineStr">
        <is>
          <t/>
        </is>
      </c>
      <c r="F57" s="0" t="inlineStr">
        <is>
          <t/>
        </is>
      </c>
      <c r="G57" s="0" t="inlineStr">
        <is>
          <t/>
        </is>
      </c>
      <c r="H57" s="0" t="inlineStr">
        <is>
          <t/>
        </is>
      </c>
      <c r="I57" s="0" t="inlineStr">
        <is>
          <t/>
        </is>
      </c>
      <c r="J57" s="0">
        <f>SUMIFS('Suivi Temps'!$D:$D,'Suivi Temps'!$A:$A,"P001-047")</f>
      </c>
      <c r="K57" s="0" t="inlineStr">
        <is>
          <t/>
        </is>
      </c>
      <c r="L57" s="0" t="inlineStr">
        <is>
          <t/>
        </is>
      </c>
      <c r="M57" s="0" t="inlineStr">
        <is>
          <t/>
        </is>
      </c>
      <c r="N57" s="0" t="inlineStr">
        <is>
          <t/>
        </is>
      </c>
      <c r="O57" s="0" t="inlineStr">
        <is>
          <t/>
        </is>
      </c>
      <c r="P57" s="0">
        <f>IF(AND(P$9&gt;=$E57,P$9&lt;=$F57),"■","")</f>
      </c>
      <c r="Q57" s="0">
        <f>IF(AND(Q$9&gt;=$E57,Q$9&lt;=$F57),"■","")</f>
      </c>
      <c r="R57" s="0">
        <f>IF(AND(R$9&gt;=$E57,R$9&lt;=$F57),"■","")</f>
      </c>
      <c r="S57" s="0">
        <f>IF(AND(S$9&gt;=$E57,S$9&lt;=$F57),"■","")</f>
      </c>
      <c r="T57" s="0">
        <f>IF(AND(T$9&gt;=$E57,T$9&lt;=$F57),"■","")</f>
      </c>
      <c r="U57" s="0">
        <f>IF(AND(U$9&gt;=$E57,U$9&lt;=$F57),"■","")</f>
      </c>
      <c r="V57" s="0">
        <f>IF(AND(V$9&gt;=$E57,V$9&lt;=$F57),"■","")</f>
      </c>
      <c r="W57" s="0">
        <f>IF(AND(W$9&gt;=$E57,W$9&lt;=$F57),"■","")</f>
      </c>
      <c r="X57" s="0">
        <f>IF(AND(X$9&gt;=$E57,X$9&lt;=$F57),"■","")</f>
      </c>
      <c r="Y57" s="0">
        <f>IF(AND(Y$9&gt;=$E57,Y$9&lt;=$F57),"■","")</f>
      </c>
      <c r="Z57" s="0">
        <f>IF(AND(Z$9&gt;=$E57,Z$9&lt;=$F57),"■","")</f>
      </c>
      <c r="AA57" s="0">
        <f>IF(AND(AA$9&gt;=$E57,AA$9&lt;=$F57),"■","")</f>
      </c>
      <c r="AB57" s="0">
        <f>IF(AND(AB$9&gt;=$E57,AB$9&lt;=$F57),"■","")</f>
      </c>
      <c r="AC57" s="0">
        <f>IF(AND(AC$9&gt;=$E57,AC$9&lt;=$F57),"■","")</f>
      </c>
      <c r="AD57" s="0">
        <f>IF(AND(AD$9&gt;=$E57,AD$9&lt;=$F57),"■","")</f>
      </c>
      <c r="AE57" s="0">
        <f>IF(AND(AE$9&gt;=$E57,AE$9&lt;=$F57),"■","")</f>
      </c>
      <c r="AF57" s="0">
        <f>IF(AND(AF$9&gt;=$E57,AF$9&lt;=$F57),"■","")</f>
      </c>
      <c r="AG57" s="0">
        <f>IF(AND(AG$9&gt;=$E57,AG$9&lt;=$F57),"■","")</f>
      </c>
      <c r="AH57" s="0">
        <f>IF(AND(AH$9&gt;=$E57,AH$9&lt;=$F57),"■","")</f>
      </c>
      <c r="AI57" s="0">
        <f>IF(AND(AI$9&gt;=$E57,AI$9&lt;=$F57),"■","")</f>
      </c>
      <c r="AJ57" s="0">
        <f>IF(AND(AJ$9&gt;=$E57,AJ$9&lt;=$F57),"■","")</f>
      </c>
      <c r="AK57" s="0">
        <f>IF(AND(AK$9&gt;=$E57,AK$9&lt;=$F57),"■","")</f>
      </c>
      <c r="AL57" s="0">
        <f>IF(AND(AL$9&gt;=$E57,AL$9&lt;=$F57),"■","")</f>
      </c>
      <c r="AM57" s="0">
        <f>IF(AND(AM$9&gt;=$E57,AM$9&lt;=$F57),"■","")</f>
      </c>
      <c r="AN57" s="0">
        <f>IF(AND(AN$9&gt;=$E57,AN$9&lt;=$F57),"■","")</f>
      </c>
      <c r="AO57" s="0">
        <f>IF(AND(AO$9&gt;=$E57,AO$9&lt;=$F57),"■","")</f>
      </c>
      <c r="AP57" s="0">
        <f>IF(AND(AP$9&gt;=$E57,AP$9&lt;=$F57),"■","")</f>
      </c>
      <c r="AQ57" s="0">
        <f>IF(AND(AQ$9&gt;=$E57,AQ$9&lt;=$F57),"■","")</f>
      </c>
      <c r="AR57" s="0">
        <f>IF(AND(AR$9&gt;=$E57,AR$9&lt;=$F57),"■","")</f>
      </c>
      <c r="AS57" s="0">
        <f>IF(AND(AS$9&gt;=$E57,AS$9&lt;=$F57),"■","")</f>
      </c>
      <c r="AT57" s="0">
        <f>IF(AND(AT$9&gt;=$E57,AT$9&lt;=$F57),"■","")</f>
      </c>
      <c r="AU57" s="0">
        <f>IF(AND(AU$9&gt;=$E57,AU$9&lt;=$F57),"■","")</f>
      </c>
      <c r="AV57" s="0">
        <f>IF(AND(AV$9&gt;=$E57,AV$9&lt;=$F57),"■","")</f>
      </c>
      <c r="AW57" s="0">
        <f>IF(AND(AW$9&gt;=$E57,AW$9&lt;=$F57),"■","")</f>
      </c>
      <c r="AX57" s="0">
        <f>IF(AND(AX$9&gt;=$E57,AX$9&lt;=$F57),"■","")</f>
      </c>
      <c r="AY57" s="0">
        <f>IF(AND(AY$9&gt;=$E57,AY$9&lt;=$F57),"■","")</f>
      </c>
      <c r="AZ57" s="0">
        <f>IF(AND(AZ$9&gt;=$E57,AZ$9&lt;=$F57),"■","")</f>
      </c>
      <c r="BA57" s="0">
        <f>IF(AND(BA$9&gt;=$E57,BA$9&lt;=$F57),"■","")</f>
      </c>
      <c r="BB57" s="0">
        <f>IF(AND(BB$9&gt;=$E57,BB$9&lt;=$F57),"■","")</f>
      </c>
      <c r="BC57" s="0">
        <f>IF(AND(BC$9&gt;=$E57,BC$9&lt;=$F57),"■","")</f>
      </c>
      <c r="BD57" s="0">
        <f>IF(AND(BD$9&gt;=$E57,BD$9&lt;=$F57),"■","")</f>
      </c>
      <c r="BE57" s="0">
        <f>IF(AND(BE$9&gt;=$E57,BE$9&lt;=$F57),"■","")</f>
      </c>
      <c r="BF57" s="0">
        <f>IF(AND(BF$9&gt;=$E57,BF$9&lt;=$F57),"■","")</f>
      </c>
      <c r="BG57" s="0">
        <f>IF(AND(BG$9&gt;=$E57,BG$9&lt;=$F57),"■","")</f>
      </c>
      <c r="BH57" s="0">
        <f>IF(AND(BH$9&gt;=$E57,BH$9&lt;=$F57),"■","")</f>
      </c>
      <c r="BI57" s="0">
        <f>IF(AND(BI$9&gt;=$E57,BI$9&lt;=$F57),"■","")</f>
      </c>
      <c r="BJ57" s="0">
        <f>IF(AND(BJ$9&gt;=$E57,BJ$9&lt;=$F57),"■","")</f>
      </c>
      <c r="BK57" s="0">
        <f>IF(AND(BK$9&gt;=$E57,BK$9&lt;=$F57),"■","")</f>
      </c>
      <c r="BL57" s="0">
        <f>IF(AND(BL$9&gt;=$E57,BL$9&lt;=$F57),"■","")</f>
      </c>
      <c r="BM57" s="0">
        <f>IF(AND(BM$9&gt;=$E57,BM$9&lt;=$F57),"■","")</f>
      </c>
      <c r="BN57" s="0">
        <f>IF(AND(BN$9&gt;=$E57,BN$9&lt;=$F57),"■","")</f>
      </c>
      <c r="BO57" s="0">
        <f>IF(AND(BO$9&gt;=$E57,BO$9&lt;=$F57),"■","")</f>
      </c>
      <c r="BP57" s="0">
        <f>IF(AND(BP$9&gt;=$E57,BP$9&lt;=$F57),"■","")</f>
      </c>
      <c r="BQ57" s="0">
        <f>IF(AND(BQ$9&gt;=$E57,BQ$9&lt;=$F57),"■","")</f>
      </c>
      <c r="BR57" s="0">
        <f>IF(AND(BR$9&gt;=$E57,BR$9&lt;=$F57),"■","")</f>
      </c>
      <c r="BS57" s="0">
        <f>IF(AND(BS$9&gt;=$E57,BS$9&lt;=$F57),"■","")</f>
      </c>
      <c r="BT57" s="0">
        <f>IF(AND(BT$9&gt;=$E57,BT$9&lt;=$F57),"■","")</f>
      </c>
      <c r="BU57" s="0">
        <f>IF(AND(BU$9&gt;=$E57,BU$9&lt;=$F57),"■","")</f>
      </c>
      <c r="BV57" s="0">
        <f>IF(AND(BV$9&gt;=$E57,BV$9&lt;=$F57),"■","")</f>
      </c>
      <c r="BW57" s="0">
        <f>IF(AND(BW$9&gt;=$E57,BW$9&lt;=$F57),"■","")</f>
      </c>
    </row>
    <row r="58">
      <c r="A58" s="0" t="inlineStr">
        <is>
          <t>P001-048</t>
        </is>
      </c>
      <c r="B58" s="0" t="inlineStr">
        <is>
          <t/>
        </is>
      </c>
      <c r="C58" s="0" t="inlineStr">
        <is>
          <t/>
        </is>
      </c>
      <c r="D58" s="0" t="inlineStr">
        <is>
          <t/>
        </is>
      </c>
      <c r="E58" s="0" t="inlineStr">
        <is>
          <t/>
        </is>
      </c>
      <c r="F58" s="0" t="inlineStr">
        <is>
          <t/>
        </is>
      </c>
      <c r="G58" s="0" t="inlineStr">
        <is>
          <t/>
        </is>
      </c>
      <c r="H58" s="0" t="inlineStr">
        <is>
          <t/>
        </is>
      </c>
      <c r="I58" s="0" t="inlineStr">
        <is>
          <t/>
        </is>
      </c>
      <c r="J58" s="0">
        <f>SUMIFS('Suivi Temps'!$D:$D,'Suivi Temps'!$A:$A,"P001-048")</f>
      </c>
      <c r="K58" s="0" t="inlineStr">
        <is>
          <t/>
        </is>
      </c>
      <c r="L58" s="0" t="inlineStr">
        <is>
          <t/>
        </is>
      </c>
      <c r="M58" s="0" t="inlineStr">
        <is>
          <t/>
        </is>
      </c>
      <c r="N58" s="0" t="inlineStr">
        <is>
          <t/>
        </is>
      </c>
      <c r="O58" s="0" t="inlineStr">
        <is>
          <t/>
        </is>
      </c>
      <c r="P58" s="0">
        <f>IF(AND(P$9&gt;=$E58,P$9&lt;=$F58),"■","")</f>
      </c>
      <c r="Q58" s="0">
        <f>IF(AND(Q$9&gt;=$E58,Q$9&lt;=$F58),"■","")</f>
      </c>
      <c r="R58" s="0">
        <f>IF(AND(R$9&gt;=$E58,R$9&lt;=$F58),"■","")</f>
      </c>
      <c r="S58" s="0">
        <f>IF(AND(S$9&gt;=$E58,S$9&lt;=$F58),"■","")</f>
      </c>
      <c r="T58" s="0">
        <f>IF(AND(T$9&gt;=$E58,T$9&lt;=$F58),"■","")</f>
      </c>
      <c r="U58" s="0">
        <f>IF(AND(U$9&gt;=$E58,U$9&lt;=$F58),"■","")</f>
      </c>
      <c r="V58" s="0">
        <f>IF(AND(V$9&gt;=$E58,V$9&lt;=$F58),"■","")</f>
      </c>
      <c r="W58" s="0">
        <f>IF(AND(W$9&gt;=$E58,W$9&lt;=$F58),"■","")</f>
      </c>
      <c r="X58" s="0">
        <f>IF(AND(X$9&gt;=$E58,X$9&lt;=$F58),"■","")</f>
      </c>
      <c r="Y58" s="0">
        <f>IF(AND(Y$9&gt;=$E58,Y$9&lt;=$F58),"■","")</f>
      </c>
      <c r="Z58" s="0">
        <f>IF(AND(Z$9&gt;=$E58,Z$9&lt;=$F58),"■","")</f>
      </c>
      <c r="AA58" s="0">
        <f>IF(AND(AA$9&gt;=$E58,AA$9&lt;=$F58),"■","")</f>
      </c>
      <c r="AB58" s="0">
        <f>IF(AND(AB$9&gt;=$E58,AB$9&lt;=$F58),"■","")</f>
      </c>
      <c r="AC58" s="0">
        <f>IF(AND(AC$9&gt;=$E58,AC$9&lt;=$F58),"■","")</f>
      </c>
      <c r="AD58" s="0">
        <f>IF(AND(AD$9&gt;=$E58,AD$9&lt;=$F58),"■","")</f>
      </c>
      <c r="AE58" s="0">
        <f>IF(AND(AE$9&gt;=$E58,AE$9&lt;=$F58),"■","")</f>
      </c>
      <c r="AF58" s="0">
        <f>IF(AND(AF$9&gt;=$E58,AF$9&lt;=$F58),"■","")</f>
      </c>
      <c r="AG58" s="0">
        <f>IF(AND(AG$9&gt;=$E58,AG$9&lt;=$F58),"■","")</f>
      </c>
      <c r="AH58" s="0">
        <f>IF(AND(AH$9&gt;=$E58,AH$9&lt;=$F58),"■","")</f>
      </c>
      <c r="AI58" s="0">
        <f>IF(AND(AI$9&gt;=$E58,AI$9&lt;=$F58),"■","")</f>
      </c>
      <c r="AJ58" s="0">
        <f>IF(AND(AJ$9&gt;=$E58,AJ$9&lt;=$F58),"■","")</f>
      </c>
      <c r="AK58" s="0">
        <f>IF(AND(AK$9&gt;=$E58,AK$9&lt;=$F58),"■","")</f>
      </c>
      <c r="AL58" s="0">
        <f>IF(AND(AL$9&gt;=$E58,AL$9&lt;=$F58),"■","")</f>
      </c>
      <c r="AM58" s="0">
        <f>IF(AND(AM$9&gt;=$E58,AM$9&lt;=$F58),"■","")</f>
      </c>
      <c r="AN58" s="0">
        <f>IF(AND(AN$9&gt;=$E58,AN$9&lt;=$F58),"■","")</f>
      </c>
      <c r="AO58" s="0">
        <f>IF(AND(AO$9&gt;=$E58,AO$9&lt;=$F58),"■","")</f>
      </c>
      <c r="AP58" s="0">
        <f>IF(AND(AP$9&gt;=$E58,AP$9&lt;=$F58),"■","")</f>
      </c>
      <c r="AQ58" s="0">
        <f>IF(AND(AQ$9&gt;=$E58,AQ$9&lt;=$F58),"■","")</f>
      </c>
      <c r="AR58" s="0">
        <f>IF(AND(AR$9&gt;=$E58,AR$9&lt;=$F58),"■","")</f>
      </c>
      <c r="AS58" s="0">
        <f>IF(AND(AS$9&gt;=$E58,AS$9&lt;=$F58),"■","")</f>
      </c>
      <c r="AT58" s="0">
        <f>IF(AND(AT$9&gt;=$E58,AT$9&lt;=$F58),"■","")</f>
      </c>
      <c r="AU58" s="0">
        <f>IF(AND(AU$9&gt;=$E58,AU$9&lt;=$F58),"■","")</f>
      </c>
      <c r="AV58" s="0">
        <f>IF(AND(AV$9&gt;=$E58,AV$9&lt;=$F58),"■","")</f>
      </c>
      <c r="AW58" s="0">
        <f>IF(AND(AW$9&gt;=$E58,AW$9&lt;=$F58),"■","")</f>
      </c>
      <c r="AX58" s="0">
        <f>IF(AND(AX$9&gt;=$E58,AX$9&lt;=$F58),"■","")</f>
      </c>
      <c r="AY58" s="0">
        <f>IF(AND(AY$9&gt;=$E58,AY$9&lt;=$F58),"■","")</f>
      </c>
      <c r="AZ58" s="0">
        <f>IF(AND(AZ$9&gt;=$E58,AZ$9&lt;=$F58),"■","")</f>
      </c>
      <c r="BA58" s="0">
        <f>IF(AND(BA$9&gt;=$E58,BA$9&lt;=$F58),"■","")</f>
      </c>
      <c r="BB58" s="0">
        <f>IF(AND(BB$9&gt;=$E58,BB$9&lt;=$F58),"■","")</f>
      </c>
      <c r="BC58" s="0">
        <f>IF(AND(BC$9&gt;=$E58,BC$9&lt;=$F58),"■","")</f>
      </c>
      <c r="BD58" s="0">
        <f>IF(AND(BD$9&gt;=$E58,BD$9&lt;=$F58),"■","")</f>
      </c>
      <c r="BE58" s="0">
        <f>IF(AND(BE$9&gt;=$E58,BE$9&lt;=$F58),"■","")</f>
      </c>
      <c r="BF58" s="0">
        <f>IF(AND(BF$9&gt;=$E58,BF$9&lt;=$F58),"■","")</f>
      </c>
      <c r="BG58" s="0">
        <f>IF(AND(BG$9&gt;=$E58,BG$9&lt;=$F58),"■","")</f>
      </c>
      <c r="BH58" s="0">
        <f>IF(AND(BH$9&gt;=$E58,BH$9&lt;=$F58),"■","")</f>
      </c>
      <c r="BI58" s="0">
        <f>IF(AND(BI$9&gt;=$E58,BI$9&lt;=$F58),"■","")</f>
      </c>
      <c r="BJ58" s="0">
        <f>IF(AND(BJ$9&gt;=$E58,BJ$9&lt;=$F58),"■","")</f>
      </c>
      <c r="BK58" s="0">
        <f>IF(AND(BK$9&gt;=$E58,BK$9&lt;=$F58),"■","")</f>
      </c>
      <c r="BL58" s="0">
        <f>IF(AND(BL$9&gt;=$E58,BL$9&lt;=$F58),"■","")</f>
      </c>
      <c r="BM58" s="0">
        <f>IF(AND(BM$9&gt;=$E58,BM$9&lt;=$F58),"■","")</f>
      </c>
      <c r="BN58" s="0">
        <f>IF(AND(BN$9&gt;=$E58,BN$9&lt;=$F58),"■","")</f>
      </c>
      <c r="BO58" s="0">
        <f>IF(AND(BO$9&gt;=$E58,BO$9&lt;=$F58),"■","")</f>
      </c>
      <c r="BP58" s="0">
        <f>IF(AND(BP$9&gt;=$E58,BP$9&lt;=$F58),"■","")</f>
      </c>
      <c r="BQ58" s="0">
        <f>IF(AND(BQ$9&gt;=$E58,BQ$9&lt;=$F58),"■","")</f>
      </c>
      <c r="BR58" s="0">
        <f>IF(AND(BR$9&gt;=$E58,BR$9&lt;=$F58),"■","")</f>
      </c>
      <c r="BS58" s="0">
        <f>IF(AND(BS$9&gt;=$E58,BS$9&lt;=$F58),"■","")</f>
      </c>
      <c r="BT58" s="0">
        <f>IF(AND(BT$9&gt;=$E58,BT$9&lt;=$F58),"■","")</f>
      </c>
      <c r="BU58" s="0">
        <f>IF(AND(BU$9&gt;=$E58,BU$9&lt;=$F58),"■","")</f>
      </c>
      <c r="BV58" s="0">
        <f>IF(AND(BV$9&gt;=$E58,BV$9&lt;=$F58),"■","")</f>
      </c>
      <c r="BW58" s="0">
        <f>IF(AND(BW$9&gt;=$E58,BW$9&lt;=$F58),"■","")</f>
      </c>
    </row>
    <row r="59">
      <c r="A59" s="0" t="inlineStr">
        <is>
          <t>P001-049</t>
        </is>
      </c>
      <c r="B59" s="0" t="inlineStr">
        <is>
          <t/>
        </is>
      </c>
      <c r="C59" s="0" t="inlineStr">
        <is>
          <t/>
        </is>
      </c>
      <c r="D59" s="0" t="inlineStr">
        <is>
          <t/>
        </is>
      </c>
      <c r="E59" s="0" t="inlineStr">
        <is>
          <t/>
        </is>
      </c>
      <c r="F59" s="0" t="inlineStr">
        <is>
          <t/>
        </is>
      </c>
      <c r="G59" s="0" t="inlineStr">
        <is>
          <t/>
        </is>
      </c>
      <c r="H59" s="0" t="inlineStr">
        <is>
          <t/>
        </is>
      </c>
      <c r="I59" s="0" t="inlineStr">
        <is>
          <t/>
        </is>
      </c>
      <c r="J59" s="0">
        <f>SUMIFS('Suivi Temps'!$D:$D,'Suivi Temps'!$A:$A,"P001-049")</f>
      </c>
      <c r="K59" s="0" t="inlineStr">
        <is>
          <t/>
        </is>
      </c>
      <c r="L59" s="0" t="inlineStr">
        <is>
          <t/>
        </is>
      </c>
      <c r="M59" s="0" t="inlineStr">
        <is>
          <t/>
        </is>
      </c>
      <c r="N59" s="0" t="inlineStr">
        <is>
          <t/>
        </is>
      </c>
      <c r="O59" s="0" t="inlineStr">
        <is>
          <t/>
        </is>
      </c>
      <c r="P59" s="0">
        <f>IF(AND(P$9&gt;=$E59,P$9&lt;=$F59),"■","")</f>
      </c>
      <c r="Q59" s="0">
        <f>IF(AND(Q$9&gt;=$E59,Q$9&lt;=$F59),"■","")</f>
      </c>
      <c r="R59" s="0">
        <f>IF(AND(R$9&gt;=$E59,R$9&lt;=$F59),"■","")</f>
      </c>
      <c r="S59" s="0">
        <f>IF(AND(S$9&gt;=$E59,S$9&lt;=$F59),"■","")</f>
      </c>
      <c r="T59" s="0">
        <f>IF(AND(T$9&gt;=$E59,T$9&lt;=$F59),"■","")</f>
      </c>
      <c r="U59" s="0">
        <f>IF(AND(U$9&gt;=$E59,U$9&lt;=$F59),"■","")</f>
      </c>
      <c r="V59" s="0">
        <f>IF(AND(V$9&gt;=$E59,V$9&lt;=$F59),"■","")</f>
      </c>
      <c r="W59" s="0">
        <f>IF(AND(W$9&gt;=$E59,W$9&lt;=$F59),"■","")</f>
      </c>
      <c r="X59" s="0">
        <f>IF(AND(X$9&gt;=$E59,X$9&lt;=$F59),"■","")</f>
      </c>
      <c r="Y59" s="0">
        <f>IF(AND(Y$9&gt;=$E59,Y$9&lt;=$F59),"■","")</f>
      </c>
      <c r="Z59" s="0">
        <f>IF(AND(Z$9&gt;=$E59,Z$9&lt;=$F59),"■","")</f>
      </c>
      <c r="AA59" s="0">
        <f>IF(AND(AA$9&gt;=$E59,AA$9&lt;=$F59),"■","")</f>
      </c>
      <c r="AB59" s="0">
        <f>IF(AND(AB$9&gt;=$E59,AB$9&lt;=$F59),"■","")</f>
      </c>
      <c r="AC59" s="0">
        <f>IF(AND(AC$9&gt;=$E59,AC$9&lt;=$F59),"■","")</f>
      </c>
      <c r="AD59" s="0">
        <f>IF(AND(AD$9&gt;=$E59,AD$9&lt;=$F59),"■","")</f>
      </c>
      <c r="AE59" s="0">
        <f>IF(AND(AE$9&gt;=$E59,AE$9&lt;=$F59),"■","")</f>
      </c>
      <c r="AF59" s="0">
        <f>IF(AND(AF$9&gt;=$E59,AF$9&lt;=$F59),"■","")</f>
      </c>
      <c r="AG59" s="0">
        <f>IF(AND(AG$9&gt;=$E59,AG$9&lt;=$F59),"■","")</f>
      </c>
      <c r="AH59" s="0">
        <f>IF(AND(AH$9&gt;=$E59,AH$9&lt;=$F59),"■","")</f>
      </c>
      <c r="AI59" s="0">
        <f>IF(AND(AI$9&gt;=$E59,AI$9&lt;=$F59),"■","")</f>
      </c>
      <c r="AJ59" s="0">
        <f>IF(AND(AJ$9&gt;=$E59,AJ$9&lt;=$F59),"■","")</f>
      </c>
      <c r="AK59" s="0">
        <f>IF(AND(AK$9&gt;=$E59,AK$9&lt;=$F59),"■","")</f>
      </c>
      <c r="AL59" s="0">
        <f>IF(AND(AL$9&gt;=$E59,AL$9&lt;=$F59),"■","")</f>
      </c>
      <c r="AM59" s="0">
        <f>IF(AND(AM$9&gt;=$E59,AM$9&lt;=$F59),"■","")</f>
      </c>
      <c r="AN59" s="0">
        <f>IF(AND(AN$9&gt;=$E59,AN$9&lt;=$F59),"■","")</f>
      </c>
      <c r="AO59" s="0">
        <f>IF(AND(AO$9&gt;=$E59,AO$9&lt;=$F59),"■","")</f>
      </c>
      <c r="AP59" s="0">
        <f>IF(AND(AP$9&gt;=$E59,AP$9&lt;=$F59),"■","")</f>
      </c>
      <c r="AQ59" s="0">
        <f>IF(AND(AQ$9&gt;=$E59,AQ$9&lt;=$F59),"■","")</f>
      </c>
      <c r="AR59" s="0">
        <f>IF(AND(AR$9&gt;=$E59,AR$9&lt;=$F59),"■","")</f>
      </c>
      <c r="AS59" s="0">
        <f>IF(AND(AS$9&gt;=$E59,AS$9&lt;=$F59),"■","")</f>
      </c>
      <c r="AT59" s="0">
        <f>IF(AND(AT$9&gt;=$E59,AT$9&lt;=$F59),"■","")</f>
      </c>
      <c r="AU59" s="0">
        <f>IF(AND(AU$9&gt;=$E59,AU$9&lt;=$F59),"■","")</f>
      </c>
      <c r="AV59" s="0">
        <f>IF(AND(AV$9&gt;=$E59,AV$9&lt;=$F59),"■","")</f>
      </c>
      <c r="AW59" s="0">
        <f>IF(AND(AW$9&gt;=$E59,AW$9&lt;=$F59),"■","")</f>
      </c>
      <c r="AX59" s="0">
        <f>IF(AND(AX$9&gt;=$E59,AX$9&lt;=$F59),"■","")</f>
      </c>
      <c r="AY59" s="0">
        <f>IF(AND(AY$9&gt;=$E59,AY$9&lt;=$F59),"■","")</f>
      </c>
      <c r="AZ59" s="0">
        <f>IF(AND(AZ$9&gt;=$E59,AZ$9&lt;=$F59),"■","")</f>
      </c>
      <c r="BA59" s="0">
        <f>IF(AND(BA$9&gt;=$E59,BA$9&lt;=$F59),"■","")</f>
      </c>
      <c r="BB59" s="0">
        <f>IF(AND(BB$9&gt;=$E59,BB$9&lt;=$F59),"■","")</f>
      </c>
      <c r="BC59" s="0">
        <f>IF(AND(BC$9&gt;=$E59,BC$9&lt;=$F59),"■","")</f>
      </c>
      <c r="BD59" s="0">
        <f>IF(AND(BD$9&gt;=$E59,BD$9&lt;=$F59),"■","")</f>
      </c>
      <c r="BE59" s="0">
        <f>IF(AND(BE$9&gt;=$E59,BE$9&lt;=$F59),"■","")</f>
      </c>
      <c r="BF59" s="0">
        <f>IF(AND(BF$9&gt;=$E59,BF$9&lt;=$F59),"■","")</f>
      </c>
      <c r="BG59" s="0">
        <f>IF(AND(BG$9&gt;=$E59,BG$9&lt;=$F59),"■","")</f>
      </c>
      <c r="BH59" s="0">
        <f>IF(AND(BH$9&gt;=$E59,BH$9&lt;=$F59),"■","")</f>
      </c>
      <c r="BI59" s="0">
        <f>IF(AND(BI$9&gt;=$E59,BI$9&lt;=$F59),"■","")</f>
      </c>
      <c r="BJ59" s="0">
        <f>IF(AND(BJ$9&gt;=$E59,BJ$9&lt;=$F59),"■","")</f>
      </c>
      <c r="BK59" s="0">
        <f>IF(AND(BK$9&gt;=$E59,BK$9&lt;=$F59),"■","")</f>
      </c>
      <c r="BL59" s="0">
        <f>IF(AND(BL$9&gt;=$E59,BL$9&lt;=$F59),"■","")</f>
      </c>
      <c r="BM59" s="0">
        <f>IF(AND(BM$9&gt;=$E59,BM$9&lt;=$F59),"■","")</f>
      </c>
      <c r="BN59" s="0">
        <f>IF(AND(BN$9&gt;=$E59,BN$9&lt;=$F59),"■","")</f>
      </c>
      <c r="BO59" s="0">
        <f>IF(AND(BO$9&gt;=$E59,BO$9&lt;=$F59),"■","")</f>
      </c>
      <c r="BP59" s="0">
        <f>IF(AND(BP$9&gt;=$E59,BP$9&lt;=$F59),"■","")</f>
      </c>
      <c r="BQ59" s="0">
        <f>IF(AND(BQ$9&gt;=$E59,BQ$9&lt;=$F59),"■","")</f>
      </c>
      <c r="BR59" s="0">
        <f>IF(AND(BR$9&gt;=$E59,BR$9&lt;=$F59),"■","")</f>
      </c>
      <c r="BS59" s="0">
        <f>IF(AND(BS$9&gt;=$E59,BS$9&lt;=$F59),"■","")</f>
      </c>
      <c r="BT59" s="0">
        <f>IF(AND(BT$9&gt;=$E59,BT$9&lt;=$F59),"■","")</f>
      </c>
      <c r="BU59" s="0">
        <f>IF(AND(BU$9&gt;=$E59,BU$9&lt;=$F59),"■","")</f>
      </c>
      <c r="BV59" s="0">
        <f>IF(AND(BV$9&gt;=$E59,BV$9&lt;=$F59),"■","")</f>
      </c>
      <c r="BW59" s="0">
        <f>IF(AND(BW$9&gt;=$E59,BW$9&lt;=$F59),"■","")</f>
      </c>
    </row>
    <row r="60">
      <c r="A60" s="0" t="inlineStr">
        <is>
          <t>P001-050</t>
        </is>
      </c>
      <c r="B60" s="0" t="inlineStr">
        <is>
          <t/>
        </is>
      </c>
      <c r="C60" s="0" t="inlineStr">
        <is>
          <t/>
        </is>
      </c>
      <c r="D60" s="0" t="inlineStr">
        <is>
          <t/>
        </is>
      </c>
      <c r="E60" s="0" t="inlineStr">
        <is>
          <t/>
        </is>
      </c>
      <c r="F60" s="0" t="inlineStr">
        <is>
          <t/>
        </is>
      </c>
      <c r="G60" s="0" t="inlineStr">
        <is>
          <t/>
        </is>
      </c>
      <c r="H60" s="0" t="inlineStr">
        <is>
          <t/>
        </is>
      </c>
      <c r="I60" s="0" t="inlineStr">
        <is>
          <t/>
        </is>
      </c>
      <c r="J60" s="0">
        <f>SUMIFS('Suivi Temps'!$D:$D,'Suivi Temps'!$A:$A,"P001-050")</f>
      </c>
      <c r="K60" s="0" t="inlineStr">
        <is>
          <t/>
        </is>
      </c>
      <c r="L60" s="0" t="inlineStr">
        <is>
          <t/>
        </is>
      </c>
      <c r="M60" s="0" t="inlineStr">
        <is>
          <t/>
        </is>
      </c>
      <c r="N60" s="0" t="inlineStr">
        <is>
          <t/>
        </is>
      </c>
      <c r="O60" s="0" t="inlineStr">
        <is>
          <t/>
        </is>
      </c>
      <c r="P60" s="0">
        <f>IF(AND(P$9&gt;=$E60,P$9&lt;=$F60),"■","")</f>
      </c>
      <c r="Q60" s="0">
        <f>IF(AND(Q$9&gt;=$E60,Q$9&lt;=$F60),"■","")</f>
      </c>
      <c r="R60" s="0">
        <f>IF(AND(R$9&gt;=$E60,R$9&lt;=$F60),"■","")</f>
      </c>
      <c r="S60" s="0">
        <f>IF(AND(S$9&gt;=$E60,S$9&lt;=$F60),"■","")</f>
      </c>
      <c r="T60" s="0">
        <f>IF(AND(T$9&gt;=$E60,T$9&lt;=$F60),"■","")</f>
      </c>
      <c r="U60" s="0">
        <f>IF(AND(U$9&gt;=$E60,U$9&lt;=$F60),"■","")</f>
      </c>
      <c r="V60" s="0">
        <f>IF(AND(V$9&gt;=$E60,V$9&lt;=$F60),"■","")</f>
      </c>
      <c r="W60" s="0">
        <f>IF(AND(W$9&gt;=$E60,W$9&lt;=$F60),"■","")</f>
      </c>
      <c r="X60" s="0">
        <f>IF(AND(X$9&gt;=$E60,X$9&lt;=$F60),"■","")</f>
      </c>
      <c r="Y60" s="0">
        <f>IF(AND(Y$9&gt;=$E60,Y$9&lt;=$F60),"■","")</f>
      </c>
      <c r="Z60" s="0">
        <f>IF(AND(Z$9&gt;=$E60,Z$9&lt;=$F60),"■","")</f>
      </c>
      <c r="AA60" s="0">
        <f>IF(AND(AA$9&gt;=$E60,AA$9&lt;=$F60),"■","")</f>
      </c>
      <c r="AB60" s="0">
        <f>IF(AND(AB$9&gt;=$E60,AB$9&lt;=$F60),"■","")</f>
      </c>
      <c r="AC60" s="0">
        <f>IF(AND(AC$9&gt;=$E60,AC$9&lt;=$F60),"■","")</f>
      </c>
      <c r="AD60" s="0">
        <f>IF(AND(AD$9&gt;=$E60,AD$9&lt;=$F60),"■","")</f>
      </c>
      <c r="AE60" s="0">
        <f>IF(AND(AE$9&gt;=$E60,AE$9&lt;=$F60),"■","")</f>
      </c>
      <c r="AF60" s="0">
        <f>IF(AND(AF$9&gt;=$E60,AF$9&lt;=$F60),"■","")</f>
      </c>
      <c r="AG60" s="0">
        <f>IF(AND(AG$9&gt;=$E60,AG$9&lt;=$F60),"■","")</f>
      </c>
      <c r="AH60" s="0">
        <f>IF(AND(AH$9&gt;=$E60,AH$9&lt;=$F60),"■","")</f>
      </c>
      <c r="AI60" s="0">
        <f>IF(AND(AI$9&gt;=$E60,AI$9&lt;=$F60),"■","")</f>
      </c>
      <c r="AJ60" s="0">
        <f>IF(AND(AJ$9&gt;=$E60,AJ$9&lt;=$F60),"■","")</f>
      </c>
      <c r="AK60" s="0">
        <f>IF(AND(AK$9&gt;=$E60,AK$9&lt;=$F60),"■","")</f>
      </c>
      <c r="AL60" s="0">
        <f>IF(AND(AL$9&gt;=$E60,AL$9&lt;=$F60),"■","")</f>
      </c>
      <c r="AM60" s="0">
        <f>IF(AND(AM$9&gt;=$E60,AM$9&lt;=$F60),"■","")</f>
      </c>
      <c r="AN60" s="0">
        <f>IF(AND(AN$9&gt;=$E60,AN$9&lt;=$F60),"■","")</f>
      </c>
      <c r="AO60" s="0">
        <f>IF(AND(AO$9&gt;=$E60,AO$9&lt;=$F60),"■","")</f>
      </c>
      <c r="AP60" s="0">
        <f>IF(AND(AP$9&gt;=$E60,AP$9&lt;=$F60),"■","")</f>
      </c>
      <c r="AQ60" s="0">
        <f>IF(AND(AQ$9&gt;=$E60,AQ$9&lt;=$F60),"■","")</f>
      </c>
      <c r="AR60" s="0">
        <f>IF(AND(AR$9&gt;=$E60,AR$9&lt;=$F60),"■","")</f>
      </c>
      <c r="AS60" s="0">
        <f>IF(AND(AS$9&gt;=$E60,AS$9&lt;=$F60),"■","")</f>
      </c>
      <c r="AT60" s="0">
        <f>IF(AND(AT$9&gt;=$E60,AT$9&lt;=$F60),"■","")</f>
      </c>
      <c r="AU60" s="0">
        <f>IF(AND(AU$9&gt;=$E60,AU$9&lt;=$F60),"■","")</f>
      </c>
      <c r="AV60" s="0">
        <f>IF(AND(AV$9&gt;=$E60,AV$9&lt;=$F60),"■","")</f>
      </c>
      <c r="AW60" s="0">
        <f>IF(AND(AW$9&gt;=$E60,AW$9&lt;=$F60),"■","")</f>
      </c>
      <c r="AX60" s="0">
        <f>IF(AND(AX$9&gt;=$E60,AX$9&lt;=$F60),"■","")</f>
      </c>
      <c r="AY60" s="0">
        <f>IF(AND(AY$9&gt;=$E60,AY$9&lt;=$F60),"■","")</f>
      </c>
      <c r="AZ60" s="0">
        <f>IF(AND(AZ$9&gt;=$E60,AZ$9&lt;=$F60),"■","")</f>
      </c>
      <c r="BA60" s="0">
        <f>IF(AND(BA$9&gt;=$E60,BA$9&lt;=$F60),"■","")</f>
      </c>
      <c r="BB60" s="0">
        <f>IF(AND(BB$9&gt;=$E60,BB$9&lt;=$F60),"■","")</f>
      </c>
      <c r="BC60" s="0">
        <f>IF(AND(BC$9&gt;=$E60,BC$9&lt;=$F60),"■","")</f>
      </c>
      <c r="BD60" s="0">
        <f>IF(AND(BD$9&gt;=$E60,BD$9&lt;=$F60),"■","")</f>
      </c>
      <c r="BE60" s="0">
        <f>IF(AND(BE$9&gt;=$E60,BE$9&lt;=$F60),"■","")</f>
      </c>
      <c r="BF60" s="0">
        <f>IF(AND(BF$9&gt;=$E60,BF$9&lt;=$F60),"■","")</f>
      </c>
      <c r="BG60" s="0">
        <f>IF(AND(BG$9&gt;=$E60,BG$9&lt;=$F60),"■","")</f>
      </c>
      <c r="BH60" s="0">
        <f>IF(AND(BH$9&gt;=$E60,BH$9&lt;=$F60),"■","")</f>
      </c>
      <c r="BI60" s="0">
        <f>IF(AND(BI$9&gt;=$E60,BI$9&lt;=$F60),"■","")</f>
      </c>
      <c r="BJ60" s="0">
        <f>IF(AND(BJ$9&gt;=$E60,BJ$9&lt;=$F60),"■","")</f>
      </c>
      <c r="BK60" s="0">
        <f>IF(AND(BK$9&gt;=$E60,BK$9&lt;=$F60),"■","")</f>
      </c>
      <c r="BL60" s="0">
        <f>IF(AND(BL$9&gt;=$E60,BL$9&lt;=$F60),"■","")</f>
      </c>
      <c r="BM60" s="0">
        <f>IF(AND(BM$9&gt;=$E60,BM$9&lt;=$F60),"■","")</f>
      </c>
      <c r="BN60" s="0">
        <f>IF(AND(BN$9&gt;=$E60,BN$9&lt;=$F60),"■","")</f>
      </c>
      <c r="BO60" s="0">
        <f>IF(AND(BO$9&gt;=$E60,BO$9&lt;=$F60),"■","")</f>
      </c>
      <c r="BP60" s="0">
        <f>IF(AND(BP$9&gt;=$E60,BP$9&lt;=$F60),"■","")</f>
      </c>
      <c r="BQ60" s="0">
        <f>IF(AND(BQ$9&gt;=$E60,BQ$9&lt;=$F60),"■","")</f>
      </c>
      <c r="BR60" s="0">
        <f>IF(AND(BR$9&gt;=$E60,BR$9&lt;=$F60),"■","")</f>
      </c>
      <c r="BS60" s="0">
        <f>IF(AND(BS$9&gt;=$E60,BS$9&lt;=$F60),"■","")</f>
      </c>
      <c r="BT60" s="0">
        <f>IF(AND(BT$9&gt;=$E60,BT$9&lt;=$F60),"■","")</f>
      </c>
      <c r="BU60" s="0">
        <f>IF(AND(BU$9&gt;=$E60,BU$9&lt;=$F60),"■","")</f>
      </c>
      <c r="BV60" s="0">
        <f>IF(AND(BV$9&gt;=$E60,BV$9&lt;=$F60),"■","")</f>
      </c>
      <c r="BW60" s="0">
        <f>IF(AND(BW$9&gt;=$E60,BW$9&lt;=$F60),"■","")</f>
      </c>
    </row>
    <row r="61">
      <c r="A61" s="0" t="inlineStr">
        <is>
          <t>P001-051</t>
        </is>
      </c>
      <c r="B61" s="0" t="inlineStr">
        <is>
          <t/>
        </is>
      </c>
      <c r="C61" s="0" t="inlineStr">
        <is>
          <t/>
        </is>
      </c>
      <c r="D61" s="0" t="inlineStr">
        <is>
          <t/>
        </is>
      </c>
      <c r="E61" s="0" t="inlineStr">
        <is>
          <t/>
        </is>
      </c>
      <c r="F61" s="0" t="inlineStr">
        <is>
          <t/>
        </is>
      </c>
      <c r="G61" s="0" t="inlineStr">
        <is>
          <t/>
        </is>
      </c>
      <c r="H61" s="0" t="inlineStr">
        <is>
          <t/>
        </is>
      </c>
      <c r="I61" s="0" t="inlineStr">
        <is>
          <t/>
        </is>
      </c>
      <c r="J61" s="0">
        <f>SUMIFS('Suivi Temps'!$D:$D,'Suivi Temps'!$A:$A,"P001-051")</f>
      </c>
      <c r="K61" s="0" t="inlineStr">
        <is>
          <t/>
        </is>
      </c>
      <c r="L61" s="0" t="inlineStr">
        <is>
          <t/>
        </is>
      </c>
      <c r="M61" s="0" t="inlineStr">
        <is>
          <t/>
        </is>
      </c>
      <c r="N61" s="0" t="inlineStr">
        <is>
          <t/>
        </is>
      </c>
      <c r="O61" s="0" t="inlineStr">
        <is>
          <t/>
        </is>
      </c>
      <c r="P61" s="0">
        <f>IF(AND(P$9&gt;=$E61,P$9&lt;=$F61),"■","")</f>
      </c>
      <c r="Q61" s="0">
        <f>IF(AND(Q$9&gt;=$E61,Q$9&lt;=$F61),"■","")</f>
      </c>
      <c r="R61" s="0">
        <f>IF(AND(R$9&gt;=$E61,R$9&lt;=$F61),"■","")</f>
      </c>
      <c r="S61" s="0">
        <f>IF(AND(S$9&gt;=$E61,S$9&lt;=$F61),"■","")</f>
      </c>
      <c r="T61" s="0">
        <f>IF(AND(T$9&gt;=$E61,T$9&lt;=$F61),"■","")</f>
      </c>
      <c r="U61" s="0">
        <f>IF(AND(U$9&gt;=$E61,U$9&lt;=$F61),"■","")</f>
      </c>
      <c r="V61" s="0">
        <f>IF(AND(V$9&gt;=$E61,V$9&lt;=$F61),"■","")</f>
      </c>
      <c r="W61" s="0">
        <f>IF(AND(W$9&gt;=$E61,W$9&lt;=$F61),"■","")</f>
      </c>
      <c r="X61" s="0">
        <f>IF(AND(X$9&gt;=$E61,X$9&lt;=$F61),"■","")</f>
      </c>
      <c r="Y61" s="0">
        <f>IF(AND(Y$9&gt;=$E61,Y$9&lt;=$F61),"■","")</f>
      </c>
      <c r="Z61" s="0">
        <f>IF(AND(Z$9&gt;=$E61,Z$9&lt;=$F61),"■","")</f>
      </c>
      <c r="AA61" s="0">
        <f>IF(AND(AA$9&gt;=$E61,AA$9&lt;=$F61),"■","")</f>
      </c>
      <c r="AB61" s="0">
        <f>IF(AND(AB$9&gt;=$E61,AB$9&lt;=$F61),"■","")</f>
      </c>
      <c r="AC61" s="0">
        <f>IF(AND(AC$9&gt;=$E61,AC$9&lt;=$F61),"■","")</f>
      </c>
      <c r="AD61" s="0">
        <f>IF(AND(AD$9&gt;=$E61,AD$9&lt;=$F61),"■","")</f>
      </c>
      <c r="AE61" s="0">
        <f>IF(AND(AE$9&gt;=$E61,AE$9&lt;=$F61),"■","")</f>
      </c>
      <c r="AF61" s="0">
        <f>IF(AND(AF$9&gt;=$E61,AF$9&lt;=$F61),"■","")</f>
      </c>
      <c r="AG61" s="0">
        <f>IF(AND(AG$9&gt;=$E61,AG$9&lt;=$F61),"■","")</f>
      </c>
      <c r="AH61" s="0">
        <f>IF(AND(AH$9&gt;=$E61,AH$9&lt;=$F61),"■","")</f>
      </c>
      <c r="AI61" s="0">
        <f>IF(AND(AI$9&gt;=$E61,AI$9&lt;=$F61),"■","")</f>
      </c>
      <c r="AJ61" s="0">
        <f>IF(AND(AJ$9&gt;=$E61,AJ$9&lt;=$F61),"■","")</f>
      </c>
      <c r="AK61" s="0">
        <f>IF(AND(AK$9&gt;=$E61,AK$9&lt;=$F61),"■","")</f>
      </c>
      <c r="AL61" s="0">
        <f>IF(AND(AL$9&gt;=$E61,AL$9&lt;=$F61),"■","")</f>
      </c>
      <c r="AM61" s="0">
        <f>IF(AND(AM$9&gt;=$E61,AM$9&lt;=$F61),"■","")</f>
      </c>
      <c r="AN61" s="0">
        <f>IF(AND(AN$9&gt;=$E61,AN$9&lt;=$F61),"■","")</f>
      </c>
      <c r="AO61" s="0">
        <f>IF(AND(AO$9&gt;=$E61,AO$9&lt;=$F61),"■","")</f>
      </c>
      <c r="AP61" s="0">
        <f>IF(AND(AP$9&gt;=$E61,AP$9&lt;=$F61),"■","")</f>
      </c>
      <c r="AQ61" s="0">
        <f>IF(AND(AQ$9&gt;=$E61,AQ$9&lt;=$F61),"■","")</f>
      </c>
      <c r="AR61" s="0">
        <f>IF(AND(AR$9&gt;=$E61,AR$9&lt;=$F61),"■","")</f>
      </c>
      <c r="AS61" s="0">
        <f>IF(AND(AS$9&gt;=$E61,AS$9&lt;=$F61),"■","")</f>
      </c>
      <c r="AT61" s="0">
        <f>IF(AND(AT$9&gt;=$E61,AT$9&lt;=$F61),"■","")</f>
      </c>
      <c r="AU61" s="0">
        <f>IF(AND(AU$9&gt;=$E61,AU$9&lt;=$F61),"■","")</f>
      </c>
      <c r="AV61" s="0">
        <f>IF(AND(AV$9&gt;=$E61,AV$9&lt;=$F61),"■","")</f>
      </c>
      <c r="AW61" s="0">
        <f>IF(AND(AW$9&gt;=$E61,AW$9&lt;=$F61),"■","")</f>
      </c>
      <c r="AX61" s="0">
        <f>IF(AND(AX$9&gt;=$E61,AX$9&lt;=$F61),"■","")</f>
      </c>
      <c r="AY61" s="0">
        <f>IF(AND(AY$9&gt;=$E61,AY$9&lt;=$F61),"■","")</f>
      </c>
      <c r="AZ61" s="0">
        <f>IF(AND(AZ$9&gt;=$E61,AZ$9&lt;=$F61),"■","")</f>
      </c>
      <c r="BA61" s="0">
        <f>IF(AND(BA$9&gt;=$E61,BA$9&lt;=$F61),"■","")</f>
      </c>
      <c r="BB61" s="0">
        <f>IF(AND(BB$9&gt;=$E61,BB$9&lt;=$F61),"■","")</f>
      </c>
      <c r="BC61" s="0">
        <f>IF(AND(BC$9&gt;=$E61,BC$9&lt;=$F61),"■","")</f>
      </c>
      <c r="BD61" s="0">
        <f>IF(AND(BD$9&gt;=$E61,BD$9&lt;=$F61),"■","")</f>
      </c>
      <c r="BE61" s="0">
        <f>IF(AND(BE$9&gt;=$E61,BE$9&lt;=$F61),"■","")</f>
      </c>
      <c r="BF61" s="0">
        <f>IF(AND(BF$9&gt;=$E61,BF$9&lt;=$F61),"■","")</f>
      </c>
      <c r="BG61" s="0">
        <f>IF(AND(BG$9&gt;=$E61,BG$9&lt;=$F61),"■","")</f>
      </c>
      <c r="BH61" s="0">
        <f>IF(AND(BH$9&gt;=$E61,BH$9&lt;=$F61),"■","")</f>
      </c>
      <c r="BI61" s="0">
        <f>IF(AND(BI$9&gt;=$E61,BI$9&lt;=$F61),"■","")</f>
      </c>
      <c r="BJ61" s="0">
        <f>IF(AND(BJ$9&gt;=$E61,BJ$9&lt;=$F61),"■","")</f>
      </c>
      <c r="BK61" s="0">
        <f>IF(AND(BK$9&gt;=$E61,BK$9&lt;=$F61),"■","")</f>
      </c>
      <c r="BL61" s="0">
        <f>IF(AND(BL$9&gt;=$E61,BL$9&lt;=$F61),"■","")</f>
      </c>
      <c r="BM61" s="0">
        <f>IF(AND(BM$9&gt;=$E61,BM$9&lt;=$F61),"■","")</f>
      </c>
      <c r="BN61" s="0">
        <f>IF(AND(BN$9&gt;=$E61,BN$9&lt;=$F61),"■","")</f>
      </c>
      <c r="BO61" s="0">
        <f>IF(AND(BO$9&gt;=$E61,BO$9&lt;=$F61),"■","")</f>
      </c>
      <c r="BP61" s="0">
        <f>IF(AND(BP$9&gt;=$E61,BP$9&lt;=$F61),"■","")</f>
      </c>
      <c r="BQ61" s="0">
        <f>IF(AND(BQ$9&gt;=$E61,BQ$9&lt;=$F61),"■","")</f>
      </c>
      <c r="BR61" s="0">
        <f>IF(AND(BR$9&gt;=$E61,BR$9&lt;=$F61),"■","")</f>
      </c>
      <c r="BS61" s="0">
        <f>IF(AND(BS$9&gt;=$E61,BS$9&lt;=$F61),"■","")</f>
      </c>
      <c r="BT61" s="0">
        <f>IF(AND(BT$9&gt;=$E61,BT$9&lt;=$F61),"■","")</f>
      </c>
      <c r="BU61" s="0">
        <f>IF(AND(BU$9&gt;=$E61,BU$9&lt;=$F61),"■","")</f>
      </c>
      <c r="BV61" s="0">
        <f>IF(AND(BV$9&gt;=$E61,BV$9&lt;=$F61),"■","")</f>
      </c>
      <c r="BW61" s="0">
        <f>IF(AND(BW$9&gt;=$E61,BW$9&lt;=$F61),"■","")</f>
      </c>
    </row>
  </sheetData>
  <mergeCells count="1">
    <mergeCell ref="A1:N1"/>
  </mergeCells>
  <dataValidations count="4">
    <dataValidation type="list" allowBlank="1" showErrorMessage="1" sqref="B10:B60">
      <formula1>Listes!$A$2:$A$5</formula1>
    </dataValidation>
    <dataValidation type="list" allowBlank="1" showErrorMessage="1" sqref="C10:C60">
      <formula1>Projet_001!$A$10:$A$60</formula1>
    </dataValidation>
    <dataValidation type="list" allowBlank="1" showErrorMessage="1" sqref="I10:I60">
      <formula1>Utilisateurs!$A$2:$A$100</formula1>
    </dataValidation>
    <dataValidation type="list" allowBlank="1" showErrorMessage="1" sqref="M10:M60">
      <formula1>Projet_001!$A$10:$A$60</formula1>
    </dataValidation>
  </dataValidations>
  <conditionalFormatting sqref="O10:BW60">
    <cfRule type="expression" priority="1" dxfId="0">
      <formula>AND(O$9&gt;=$E10,O$9&lt;=$F10)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cols>
    <col min="1" max="1" width="12" customWidth="1"/>
    <col min="2" max="2" width="8" customWidth="1"/>
    <col min="3" max="3" width="12" customWidth="1"/>
    <col min="4" max="4" width="28" customWidth="1"/>
    <col min="5" max="5" width="12" customWidth="1"/>
    <col min="6" max="6" width="14" customWidth="1"/>
    <col min="7" max="7" width="14" customWidth="1"/>
    <col min="8" max="8" width="12" customWidth="1"/>
    <col min="9" max="9" width="24" customWidth="1"/>
    <col min="10" max="10" width="15" customWidth="1"/>
    <col min="11" max="11" width="14" customWidth="1"/>
    <col min="12" max="12" width="12" customWidth="1"/>
    <col min="13" max="13" width="16" customWidth="1"/>
    <col min="14" max="14" width="24" customWidth="1"/>
    <col min="15" max="15" width="3" customWidth="1"/>
    <col min="16" max="16" width="3" customWidth="1"/>
    <col min="17" max="17" width="3" customWidth="1"/>
    <col min="18" max="18" width="3" customWidth="1"/>
    <col min="19" max="19" width="3" customWidth="1"/>
    <col min="20" max="20" width="3" customWidth="1"/>
    <col min="21" max="21" width="3" customWidth="1"/>
    <col min="22" max="22" width="3" customWidth="1"/>
    <col min="23" max="23" width="3" customWidth="1"/>
    <col min="24" max="24" width="3" customWidth="1"/>
    <col min="25" max="25" width="3" customWidth="1"/>
    <col min="26" max="26" width="3" customWidth="1"/>
    <col min="27" max="27" width="3" customWidth="1"/>
    <col min="28" max="28" width="3" customWidth="1"/>
    <col min="29" max="29" width="3" customWidth="1"/>
    <col min="30" max="30" width="3" customWidth="1"/>
    <col min="31" max="31" width="3" customWidth="1"/>
    <col min="32" max="32" width="3" customWidth="1"/>
    <col min="33" max="33" width="3" customWidth="1"/>
    <col min="34" max="34" width="3" customWidth="1"/>
    <col min="35" max="35" width="3" customWidth="1"/>
    <col min="36" max="36" width="3" customWidth="1"/>
    <col min="37" max="37" width="3" customWidth="1"/>
    <col min="38" max="38" width="3" customWidth="1"/>
    <col min="39" max="39" width="3" customWidth="1"/>
    <col min="40" max="40" width="3" customWidth="1"/>
    <col min="41" max="41" width="3" customWidth="1"/>
    <col min="42" max="42" width="3" customWidth="1"/>
    <col min="43" max="43" width="3" customWidth="1"/>
    <col min="44" max="44" width="3" customWidth="1"/>
    <col min="45" max="45" width="3" customWidth="1"/>
    <col min="46" max="46" width="3" customWidth="1"/>
    <col min="47" max="47" width="3" customWidth="1"/>
    <col min="48" max="48" width="3" customWidth="1"/>
    <col min="49" max="49" width="3" customWidth="1"/>
    <col min="50" max="50" width="3" customWidth="1"/>
    <col min="51" max="51" width="3" customWidth="1"/>
    <col min="52" max="52" width="3" customWidth="1"/>
    <col min="53" max="53" width="3" customWidth="1"/>
    <col min="54" max="54" width="3" customWidth="1"/>
    <col min="55" max="55" width="3" customWidth="1"/>
    <col min="56" max="56" width="3" customWidth="1"/>
    <col min="57" max="57" width="3" customWidth="1"/>
    <col min="58" max="58" width="3" customWidth="1"/>
    <col min="59" max="59" width="3" customWidth="1"/>
    <col min="60" max="60" width="3" customWidth="1"/>
    <col min="61" max="61" width="3" customWidth="1"/>
    <col min="62" max="62" width="3" customWidth="1"/>
    <col min="63" max="63" width="3" customWidth="1"/>
    <col min="64" max="64" width="3" customWidth="1"/>
    <col min="65" max="65" width="3" customWidth="1"/>
    <col min="66" max="66" width="3" customWidth="1"/>
    <col min="67" max="67" width="3" customWidth="1"/>
    <col min="68" max="68" width="3" customWidth="1"/>
    <col min="69" max="69" width="3" customWidth="1"/>
    <col min="70" max="70" width="3" customWidth="1"/>
    <col min="71" max="71" width="3" customWidth="1"/>
    <col min="72" max="72" width="3" customWidth="1"/>
    <col min="73" max="73" width="3" customWidth="1"/>
    <col min="74" max="74" width="3" customWidth="1"/>
    <col min="75" max="75" width="3" customWidth="1"/>
  </cols>
  <sheetViews>
    <sheetView workbookViewId="0">
      <pane ySplit="9" topLeftCell="A10" activePane="bottomLeft" state="frozen"/>
    </sheetView>
  </sheetViews>
  <sheetData>
    <row r="1">
      <c r="A1" s="1" t="inlineStr">
        <is>
          <t>Projet_002</t>
        </is>
      </c>
    </row>
    <row r="2"/>
    <row r="3">
      <c r="A3" s="0" t="inlineStr">
        <is>
          <t>KPI</t>
        </is>
      </c>
      <c r="B3" s="0" t="inlineStr">
        <is>
          <t>Valeur</t>
        </is>
      </c>
      <c r="C3" s="0" t="inlineStr">
        <is>
          <t>Formule</t>
        </is>
      </c>
    </row>
    <row r="4">
      <c r="A4" s="0" t="inlineStr">
        <is>
          <t>Avancement</t>
        </is>
      </c>
      <c r="B4" s="0">
        <f>IFERROR(AVERAGE($K$10:$K$60),0)</f>
      </c>
      <c r="C4" s="0" t="inlineStr">
        <is>
          <t>Moyenne avancement tâches</t>
        </is>
      </c>
    </row>
    <row r="5">
      <c r="A5" s="0" t="inlineStr">
        <is>
          <t>Budget prévu</t>
        </is>
      </c>
      <c r="B5" s="0">
        <f>SUM($G$10:$G$60)</f>
      </c>
      <c r="C5" s="0" t="inlineStr">
        <is>
          <t>Somme coûts prévus</t>
        </is>
      </c>
    </row>
    <row r="6">
      <c r="A6" s="0" t="inlineStr">
        <is>
          <t>Temps prévu</t>
        </is>
      </c>
      <c r="B6" s="0">
        <f>SUM($F$10:$F$60)</f>
      </c>
      <c r="C6" s="0" t="inlineStr">
        <is>
          <t>Somme heures prévues</t>
        </is>
      </c>
    </row>
    <row r="7">
      <c r="A7" s="0" t="inlineStr">
        <is>
          <t>Temps passé</t>
        </is>
      </c>
      <c r="B7" s="0">
        <f>SUM($I$10:$I$60)</f>
      </c>
      <c r="C7" s="0" t="inlineStr">
        <is>
          <t>Somme injectée depuis Suivi Temps</t>
        </is>
      </c>
    </row>
    <row r="8">
      <c r="A8" s="0" t="inlineStr">
        <is>
          <t>Tâches en retard</t>
        </is>
      </c>
      <c r="B8" s="0">
        <f>COUNTIFS($D$10:$D$60,"&lt;"&amp;TODAY(),$J$10:$J$60,"")</f>
      </c>
      <c r="C8" s="0" t="inlineStr">
        <is>
          <t>Fin estimée dépassée sans fin effective</t>
        </is>
      </c>
    </row>
    <row r="9">
      <c r="A9" s="0" t="inlineStr">
        <is>
          <t>Gantt</t>
        </is>
      </c>
      <c r="B9" s="3">
        <v>46204</v>
      </c>
      <c r="C9" s="3">
        <v>46205</v>
      </c>
      <c r="D9" s="3">
        <v>46206</v>
      </c>
      <c r="E9" s="3">
        <v>46207</v>
      </c>
      <c r="F9" s="3">
        <v>46208</v>
      </c>
      <c r="G9" s="3">
        <v>46209</v>
      </c>
      <c r="H9" s="3">
        <v>46210</v>
      </c>
      <c r="I9" s="3">
        <v>46211</v>
      </c>
      <c r="J9" s="3">
        <v>46212</v>
      </c>
      <c r="K9" s="3">
        <v>46213</v>
      </c>
      <c r="L9" s="3">
        <v>46214</v>
      </c>
      <c r="M9" s="3">
        <v>46215</v>
      </c>
      <c r="N9" s="3">
        <v>46216</v>
      </c>
      <c r="O9" s="3">
        <v>46217</v>
      </c>
      <c r="P9" s="3">
        <v>46218</v>
      </c>
      <c r="Q9" s="3">
        <v>46219</v>
      </c>
      <c r="R9" s="3">
        <v>46220</v>
      </c>
      <c r="S9" s="3">
        <v>46221</v>
      </c>
      <c r="T9" s="3">
        <v>46222</v>
      </c>
      <c r="U9" s="3">
        <v>46223</v>
      </c>
      <c r="V9" s="3">
        <v>46224</v>
      </c>
      <c r="W9" s="3">
        <v>46225</v>
      </c>
      <c r="X9" s="3">
        <v>46226</v>
      </c>
      <c r="Y9" s="3">
        <v>46227</v>
      </c>
      <c r="Z9" s="3">
        <v>46228</v>
      </c>
      <c r="AA9" s="3">
        <v>46229</v>
      </c>
      <c r="AB9" s="3">
        <v>46230</v>
      </c>
      <c r="AC9" s="3">
        <v>46231</v>
      </c>
      <c r="AD9" s="3">
        <v>46232</v>
      </c>
      <c r="AE9" s="3">
        <v>46233</v>
      </c>
      <c r="AF9" s="3">
        <v>46234</v>
      </c>
      <c r="AG9" s="3">
        <v>46235</v>
      </c>
      <c r="AH9" s="3">
        <v>46236</v>
      </c>
      <c r="AI9" s="3">
        <v>46237</v>
      </c>
      <c r="AJ9" s="3">
        <v>46238</v>
      </c>
      <c r="AK9" s="3">
        <v>46239</v>
      </c>
      <c r="AL9" s="3">
        <v>46240</v>
      </c>
      <c r="AM9" s="3">
        <v>46241</v>
      </c>
      <c r="AN9" s="3">
        <v>46242</v>
      </c>
      <c r="AO9" s="3">
        <v>46243</v>
      </c>
      <c r="AP9" s="3">
        <v>46244</v>
      </c>
      <c r="AQ9" s="3">
        <v>46245</v>
      </c>
      <c r="AR9" s="3">
        <v>46246</v>
      </c>
      <c r="AS9" s="3">
        <v>46247</v>
      </c>
      <c r="AT9" s="3">
        <v>46248</v>
      </c>
      <c r="AU9" s="3">
        <v>46249</v>
      </c>
      <c r="AV9" s="3">
        <v>46250</v>
      </c>
      <c r="AW9" s="3">
        <v>46251</v>
      </c>
      <c r="AX9" s="3">
        <v>46252</v>
      </c>
      <c r="AY9" s="3">
        <v>46253</v>
      </c>
      <c r="AZ9" s="3">
        <v>46254</v>
      </c>
      <c r="BA9" s="3">
        <v>46255</v>
      </c>
      <c r="BB9" s="3">
        <v>46256</v>
      </c>
      <c r="BC9" s="3">
        <v>46257</v>
      </c>
      <c r="BD9" s="3">
        <v>46258</v>
      </c>
      <c r="BE9" s="3">
        <v>46259</v>
      </c>
      <c r="BF9" s="3">
        <v>46260</v>
      </c>
      <c r="BG9" s="3">
        <v>46261</v>
      </c>
      <c r="BH9" s="3">
        <v>46262</v>
      </c>
      <c r="BI9" s="3">
        <v>46263</v>
      </c>
    </row>
    <row r="10">
      <c r="A10" s="0" t="inlineStr">
        <is>
          <t>Réf.</t>
        </is>
      </c>
      <c r="B10" s="0" t="inlineStr">
        <is>
          <t>Niveau</t>
        </is>
      </c>
      <c r="C10" s="0" t="inlineStr">
        <is>
          <t>Parent</t>
        </is>
      </c>
      <c r="D10" s="0" t="inlineStr">
        <is>
          <t>Tâche</t>
        </is>
      </c>
      <c r="E10" s="0" t="inlineStr">
        <is>
          <t>Début</t>
        </is>
      </c>
      <c r="F10" s="0" t="inlineStr">
        <is>
          <t>Fin estimée</t>
        </is>
      </c>
      <c r="G10" s="0" t="inlineStr">
        <is>
          <t>Temps prévu (h)</t>
        </is>
      </c>
      <c r="H10" s="0" t="inlineStr">
        <is>
          <t>Coût prévu</t>
        </is>
      </c>
      <c r="I10" s="0" t="inlineStr">
        <is>
          <t>Ressources</t>
        </is>
      </c>
      <c r="J10" s="0" t="inlineStr">
        <is>
          <t>Temps passé (h)</t>
        </is>
      </c>
      <c r="K10" s="0" t="inlineStr">
        <is>
          <t>Fin effective</t>
        </is>
      </c>
      <c r="L10" s="0" t="inlineStr">
        <is>
          <t>Avancement</t>
        </is>
      </c>
      <c r="M10" s="0" t="inlineStr">
        <is>
          <t>Prédécesseurs</t>
        </is>
      </c>
      <c r="N10" s="0" t="inlineStr">
        <is>
          <t>Notes</t>
        </is>
      </c>
      <c r="O10" s="0" t="inlineStr">
        <is>
          <t/>
        </is>
      </c>
      <c r="P10" s="0">
        <f>IF(AND(P$9&gt;=$E10,P$9&lt;=$F10),"■","")</f>
      </c>
      <c r="Q10" s="0">
        <f>IF(AND(Q$9&gt;=$E10,Q$9&lt;=$F10),"■","")</f>
      </c>
      <c r="R10" s="0">
        <f>IF(AND(R$9&gt;=$E10,R$9&lt;=$F10),"■","")</f>
      </c>
      <c r="S10" s="0">
        <f>IF(AND(S$9&gt;=$E10,S$9&lt;=$F10),"■","")</f>
      </c>
      <c r="T10" s="0">
        <f>IF(AND(T$9&gt;=$E10,T$9&lt;=$F10),"■","")</f>
      </c>
      <c r="U10" s="0">
        <f>IF(AND(U$9&gt;=$E10,U$9&lt;=$F10),"■","")</f>
      </c>
      <c r="V10" s="0">
        <f>IF(AND(V$9&gt;=$E10,V$9&lt;=$F10),"■","")</f>
      </c>
      <c r="W10" s="0">
        <f>IF(AND(W$9&gt;=$E10,W$9&lt;=$F10),"■","")</f>
      </c>
      <c r="X10" s="0">
        <f>IF(AND(X$9&gt;=$E10,X$9&lt;=$F10),"■","")</f>
      </c>
      <c r="Y10" s="0">
        <f>IF(AND(Y$9&gt;=$E10,Y$9&lt;=$F10),"■","")</f>
      </c>
      <c r="Z10" s="0">
        <f>IF(AND(Z$9&gt;=$E10,Z$9&lt;=$F10),"■","")</f>
      </c>
      <c r="AA10" s="0">
        <f>IF(AND(AA$9&gt;=$E10,AA$9&lt;=$F10),"■","")</f>
      </c>
      <c r="AB10" s="0">
        <f>IF(AND(AB$9&gt;=$E10,AB$9&lt;=$F10),"■","")</f>
      </c>
      <c r="AC10" s="0">
        <f>IF(AND(AC$9&gt;=$E10,AC$9&lt;=$F10),"■","")</f>
      </c>
      <c r="AD10" s="0">
        <f>IF(AND(AD$9&gt;=$E10,AD$9&lt;=$F10),"■","")</f>
      </c>
      <c r="AE10" s="0">
        <f>IF(AND(AE$9&gt;=$E10,AE$9&lt;=$F10),"■","")</f>
      </c>
      <c r="AF10" s="0">
        <f>IF(AND(AF$9&gt;=$E10,AF$9&lt;=$F10),"■","")</f>
      </c>
      <c r="AG10" s="0">
        <f>IF(AND(AG$9&gt;=$E10,AG$9&lt;=$F10),"■","")</f>
      </c>
      <c r="AH10" s="0">
        <f>IF(AND(AH$9&gt;=$E10,AH$9&lt;=$F10),"■","")</f>
      </c>
      <c r="AI10" s="0">
        <f>IF(AND(AI$9&gt;=$E10,AI$9&lt;=$F10),"■","")</f>
      </c>
      <c r="AJ10" s="0">
        <f>IF(AND(AJ$9&gt;=$E10,AJ$9&lt;=$F10),"■","")</f>
      </c>
      <c r="AK10" s="0">
        <f>IF(AND(AK$9&gt;=$E10,AK$9&lt;=$F10),"■","")</f>
      </c>
      <c r="AL10" s="0">
        <f>IF(AND(AL$9&gt;=$E10,AL$9&lt;=$F10),"■","")</f>
      </c>
      <c r="AM10" s="0">
        <f>IF(AND(AM$9&gt;=$E10,AM$9&lt;=$F10),"■","")</f>
      </c>
      <c r="AN10" s="0">
        <f>IF(AND(AN$9&gt;=$E10,AN$9&lt;=$F10),"■","")</f>
      </c>
      <c r="AO10" s="0">
        <f>IF(AND(AO$9&gt;=$E10,AO$9&lt;=$F10),"■","")</f>
      </c>
      <c r="AP10" s="0">
        <f>IF(AND(AP$9&gt;=$E10,AP$9&lt;=$F10),"■","")</f>
      </c>
      <c r="AQ10" s="0">
        <f>IF(AND(AQ$9&gt;=$E10,AQ$9&lt;=$F10),"■","")</f>
      </c>
      <c r="AR10" s="0">
        <f>IF(AND(AR$9&gt;=$E10,AR$9&lt;=$F10),"■","")</f>
      </c>
      <c r="AS10" s="0">
        <f>IF(AND(AS$9&gt;=$E10,AS$9&lt;=$F10),"■","")</f>
      </c>
      <c r="AT10" s="0">
        <f>IF(AND(AT$9&gt;=$E10,AT$9&lt;=$F10),"■","")</f>
      </c>
      <c r="AU10" s="0">
        <f>IF(AND(AU$9&gt;=$E10,AU$9&lt;=$F10),"■","")</f>
      </c>
      <c r="AV10" s="0">
        <f>IF(AND(AV$9&gt;=$E10,AV$9&lt;=$F10),"■","")</f>
      </c>
      <c r="AW10" s="0">
        <f>IF(AND(AW$9&gt;=$E10,AW$9&lt;=$F10),"■","")</f>
      </c>
      <c r="AX10" s="0">
        <f>IF(AND(AX$9&gt;=$E10,AX$9&lt;=$F10),"■","")</f>
      </c>
      <c r="AY10" s="0">
        <f>IF(AND(AY$9&gt;=$E10,AY$9&lt;=$F10),"■","")</f>
      </c>
      <c r="AZ10" s="0">
        <f>IF(AND(AZ$9&gt;=$E10,AZ$9&lt;=$F10),"■","")</f>
      </c>
      <c r="BA10" s="0">
        <f>IF(AND(BA$9&gt;=$E10,BA$9&lt;=$F10),"■","")</f>
      </c>
      <c r="BB10" s="0">
        <f>IF(AND(BB$9&gt;=$E10,BB$9&lt;=$F10),"■","")</f>
      </c>
      <c r="BC10" s="0">
        <f>IF(AND(BC$9&gt;=$E10,BC$9&lt;=$F10),"■","")</f>
      </c>
      <c r="BD10" s="0">
        <f>IF(AND(BD$9&gt;=$E10,BD$9&lt;=$F10),"■","")</f>
      </c>
      <c r="BE10" s="0">
        <f>IF(AND(BE$9&gt;=$E10,BE$9&lt;=$F10),"■","")</f>
      </c>
      <c r="BF10" s="0">
        <f>IF(AND(BF$9&gt;=$E10,BF$9&lt;=$F10),"■","")</f>
      </c>
      <c r="BG10" s="0">
        <f>IF(AND(BG$9&gt;=$E10,BG$9&lt;=$F10),"■","")</f>
      </c>
      <c r="BH10" s="0">
        <f>IF(AND(BH$9&gt;=$E10,BH$9&lt;=$F10),"■","")</f>
      </c>
      <c r="BI10" s="0">
        <f>IF(AND(BI$9&gt;=$E10,BI$9&lt;=$F10),"■","")</f>
      </c>
      <c r="BJ10" s="0">
        <f>IF(AND(BJ$9&gt;=$E10,BJ$9&lt;=$F10),"■","")</f>
      </c>
      <c r="BK10" s="0">
        <f>IF(AND(BK$9&gt;=$E10,BK$9&lt;=$F10),"■","")</f>
      </c>
      <c r="BL10" s="0">
        <f>IF(AND(BL$9&gt;=$E10,BL$9&lt;=$F10),"■","")</f>
      </c>
      <c r="BM10" s="0">
        <f>IF(AND(BM$9&gt;=$E10,BM$9&lt;=$F10),"■","")</f>
      </c>
      <c r="BN10" s="0">
        <f>IF(AND(BN$9&gt;=$E10,BN$9&lt;=$F10),"■","")</f>
      </c>
      <c r="BO10" s="0">
        <f>IF(AND(BO$9&gt;=$E10,BO$9&lt;=$F10),"■","")</f>
      </c>
      <c r="BP10" s="0">
        <f>IF(AND(BP$9&gt;=$E10,BP$9&lt;=$F10),"■","")</f>
      </c>
      <c r="BQ10" s="0">
        <f>IF(AND(BQ$9&gt;=$E10,BQ$9&lt;=$F10),"■","")</f>
      </c>
      <c r="BR10" s="0">
        <f>IF(AND(BR$9&gt;=$E10,BR$9&lt;=$F10),"■","")</f>
      </c>
      <c r="BS10" s="0">
        <f>IF(AND(BS$9&gt;=$E10,BS$9&lt;=$F10),"■","")</f>
      </c>
      <c r="BT10" s="0">
        <f>IF(AND(BT$9&gt;=$E10,BT$9&lt;=$F10),"■","")</f>
      </c>
      <c r="BU10" s="0">
        <f>IF(AND(BU$9&gt;=$E10,BU$9&lt;=$F10),"■","")</f>
      </c>
      <c r="BV10" s="0">
        <f>IF(AND(BV$9&gt;=$E10,BV$9&lt;=$F10),"■","")</f>
      </c>
      <c r="BW10" s="0">
        <f>IF(AND(BW$9&gt;=$E10,BW$9&lt;=$F10),"■","")</f>
      </c>
    </row>
    <row r="11">
      <c r="A11" s="0" t="inlineStr">
        <is>
          <t>P002-001</t>
        </is>
      </c>
      <c r="B11" s="0">
        <v>1</v>
      </c>
      <c r="C11" s="0" t="inlineStr">
        <is>
          <t/>
        </is>
      </c>
      <c r="D11" s="0" t="inlineStr">
        <is>
          <t>Cadrage</t>
        </is>
      </c>
      <c r="E11" s="3">
        <v>46204</v>
      </c>
      <c r="F11" s="3">
        <v>46214</v>
      </c>
      <c r="G11" s="0">
        <v>24</v>
      </c>
      <c r="H11" s="0">
        <v>3000</v>
      </c>
      <c r="I11" s="0" t="inlineStr">
        <is>
          <t>Alice Martin; Karim Benali</t>
        </is>
      </c>
      <c r="J11" s="0">
        <f>SUMIFS('Suivi Temps'!$D:$D,'Suivi Temps'!$A:$A,"P002-001")</f>
      </c>
      <c r="K11" s="0" t="inlineStr">
        <is>
          <t/>
        </is>
      </c>
      <c r="L11" s="0">
        <v>0.7</v>
      </c>
      <c r="M11" s="0" t="inlineStr">
        <is>
          <t/>
        </is>
      </c>
      <c r="N11" s="0" t="inlineStr">
        <is>
          <t/>
        </is>
      </c>
      <c r="O11" s="0" t="inlineStr">
        <is>
          <t/>
        </is>
      </c>
      <c r="P11" s="0">
        <f>IF(AND(P$9&gt;=$E11,P$9&lt;=$F11),"■","")</f>
      </c>
      <c r="Q11" s="0">
        <f>IF(AND(Q$9&gt;=$E11,Q$9&lt;=$F11),"■","")</f>
      </c>
      <c r="R11" s="0">
        <f>IF(AND(R$9&gt;=$E11,R$9&lt;=$F11),"■","")</f>
      </c>
      <c r="S11" s="0">
        <f>IF(AND(S$9&gt;=$E11,S$9&lt;=$F11),"■","")</f>
      </c>
      <c r="T11" s="0">
        <f>IF(AND(T$9&gt;=$E11,T$9&lt;=$F11),"■","")</f>
      </c>
      <c r="U11" s="0">
        <f>IF(AND(U$9&gt;=$E11,U$9&lt;=$F11),"■","")</f>
      </c>
      <c r="V11" s="0">
        <f>IF(AND(V$9&gt;=$E11,V$9&lt;=$F11),"■","")</f>
      </c>
      <c r="W11" s="0">
        <f>IF(AND(W$9&gt;=$E11,W$9&lt;=$F11),"■","")</f>
      </c>
      <c r="X11" s="0">
        <f>IF(AND(X$9&gt;=$E11,X$9&lt;=$F11),"■","")</f>
      </c>
      <c r="Y11" s="0">
        <f>IF(AND(Y$9&gt;=$E11,Y$9&lt;=$F11),"■","")</f>
      </c>
      <c r="Z11" s="0">
        <f>IF(AND(Z$9&gt;=$E11,Z$9&lt;=$F11),"■","")</f>
      </c>
      <c r="AA11" s="0">
        <f>IF(AND(AA$9&gt;=$E11,AA$9&lt;=$F11),"■","")</f>
      </c>
      <c r="AB11" s="0">
        <f>IF(AND(AB$9&gt;=$E11,AB$9&lt;=$F11),"■","")</f>
      </c>
      <c r="AC11" s="0">
        <f>IF(AND(AC$9&gt;=$E11,AC$9&lt;=$F11),"■","")</f>
      </c>
      <c r="AD11" s="0">
        <f>IF(AND(AD$9&gt;=$E11,AD$9&lt;=$F11),"■","")</f>
      </c>
      <c r="AE11" s="0">
        <f>IF(AND(AE$9&gt;=$E11,AE$9&lt;=$F11),"■","")</f>
      </c>
      <c r="AF11" s="0">
        <f>IF(AND(AF$9&gt;=$E11,AF$9&lt;=$F11),"■","")</f>
      </c>
      <c r="AG11" s="0">
        <f>IF(AND(AG$9&gt;=$E11,AG$9&lt;=$F11),"■","")</f>
      </c>
      <c r="AH11" s="0">
        <f>IF(AND(AH$9&gt;=$E11,AH$9&lt;=$F11),"■","")</f>
      </c>
      <c r="AI11" s="0">
        <f>IF(AND(AI$9&gt;=$E11,AI$9&lt;=$F11),"■","")</f>
      </c>
      <c r="AJ11" s="0">
        <f>IF(AND(AJ$9&gt;=$E11,AJ$9&lt;=$F11),"■","")</f>
      </c>
      <c r="AK11" s="0">
        <f>IF(AND(AK$9&gt;=$E11,AK$9&lt;=$F11),"■","")</f>
      </c>
      <c r="AL11" s="0">
        <f>IF(AND(AL$9&gt;=$E11,AL$9&lt;=$F11),"■","")</f>
      </c>
      <c r="AM11" s="0">
        <f>IF(AND(AM$9&gt;=$E11,AM$9&lt;=$F11),"■","")</f>
      </c>
      <c r="AN11" s="0">
        <f>IF(AND(AN$9&gt;=$E11,AN$9&lt;=$F11),"■","")</f>
      </c>
      <c r="AO11" s="0">
        <f>IF(AND(AO$9&gt;=$E11,AO$9&lt;=$F11),"■","")</f>
      </c>
      <c r="AP11" s="0">
        <f>IF(AND(AP$9&gt;=$E11,AP$9&lt;=$F11),"■","")</f>
      </c>
      <c r="AQ11" s="0">
        <f>IF(AND(AQ$9&gt;=$E11,AQ$9&lt;=$F11),"■","")</f>
      </c>
      <c r="AR11" s="0">
        <f>IF(AND(AR$9&gt;=$E11,AR$9&lt;=$F11),"■","")</f>
      </c>
      <c r="AS11" s="0">
        <f>IF(AND(AS$9&gt;=$E11,AS$9&lt;=$F11),"■","")</f>
      </c>
      <c r="AT11" s="0">
        <f>IF(AND(AT$9&gt;=$E11,AT$9&lt;=$F11),"■","")</f>
      </c>
      <c r="AU11" s="0">
        <f>IF(AND(AU$9&gt;=$E11,AU$9&lt;=$F11),"■","")</f>
      </c>
      <c r="AV11" s="0">
        <f>IF(AND(AV$9&gt;=$E11,AV$9&lt;=$F11),"■","")</f>
      </c>
      <c r="AW11" s="0">
        <f>IF(AND(AW$9&gt;=$E11,AW$9&lt;=$F11),"■","")</f>
      </c>
      <c r="AX11" s="0">
        <f>IF(AND(AX$9&gt;=$E11,AX$9&lt;=$F11),"■","")</f>
      </c>
      <c r="AY11" s="0">
        <f>IF(AND(AY$9&gt;=$E11,AY$9&lt;=$F11),"■","")</f>
      </c>
      <c r="AZ11" s="0">
        <f>IF(AND(AZ$9&gt;=$E11,AZ$9&lt;=$F11),"■","")</f>
      </c>
      <c r="BA11" s="0">
        <f>IF(AND(BA$9&gt;=$E11,BA$9&lt;=$F11),"■","")</f>
      </c>
      <c r="BB11" s="0">
        <f>IF(AND(BB$9&gt;=$E11,BB$9&lt;=$F11),"■","")</f>
      </c>
      <c r="BC11" s="0">
        <f>IF(AND(BC$9&gt;=$E11,BC$9&lt;=$F11),"■","")</f>
      </c>
      <c r="BD11" s="0">
        <f>IF(AND(BD$9&gt;=$E11,BD$9&lt;=$F11),"■","")</f>
      </c>
      <c r="BE11" s="0">
        <f>IF(AND(BE$9&gt;=$E11,BE$9&lt;=$F11),"■","")</f>
      </c>
      <c r="BF11" s="0">
        <f>IF(AND(BF$9&gt;=$E11,BF$9&lt;=$F11),"■","")</f>
      </c>
      <c r="BG11" s="0">
        <f>IF(AND(BG$9&gt;=$E11,BG$9&lt;=$F11),"■","")</f>
      </c>
      <c r="BH11" s="0">
        <f>IF(AND(BH$9&gt;=$E11,BH$9&lt;=$F11),"■","")</f>
      </c>
      <c r="BI11" s="0">
        <f>IF(AND(BI$9&gt;=$E11,BI$9&lt;=$F11),"■","")</f>
      </c>
      <c r="BJ11" s="0">
        <f>IF(AND(BJ$9&gt;=$E11,BJ$9&lt;=$F11),"■","")</f>
      </c>
      <c r="BK11" s="0">
        <f>IF(AND(BK$9&gt;=$E11,BK$9&lt;=$F11),"■","")</f>
      </c>
      <c r="BL11" s="0">
        <f>IF(AND(BL$9&gt;=$E11,BL$9&lt;=$F11),"■","")</f>
      </c>
      <c r="BM11" s="0">
        <f>IF(AND(BM$9&gt;=$E11,BM$9&lt;=$F11),"■","")</f>
      </c>
      <c r="BN11" s="0">
        <f>IF(AND(BN$9&gt;=$E11,BN$9&lt;=$F11),"■","")</f>
      </c>
      <c r="BO11" s="0">
        <f>IF(AND(BO$9&gt;=$E11,BO$9&lt;=$F11),"■","")</f>
      </c>
      <c r="BP11" s="0">
        <f>IF(AND(BP$9&gt;=$E11,BP$9&lt;=$F11),"■","")</f>
      </c>
      <c r="BQ11" s="0">
        <f>IF(AND(BQ$9&gt;=$E11,BQ$9&lt;=$F11),"■","")</f>
      </c>
      <c r="BR11" s="0">
        <f>IF(AND(BR$9&gt;=$E11,BR$9&lt;=$F11),"■","")</f>
      </c>
      <c r="BS11" s="0">
        <f>IF(AND(BS$9&gt;=$E11,BS$9&lt;=$F11),"■","")</f>
      </c>
      <c r="BT11" s="0">
        <f>IF(AND(BT$9&gt;=$E11,BT$9&lt;=$F11),"■","")</f>
      </c>
      <c r="BU11" s="0">
        <f>IF(AND(BU$9&gt;=$E11,BU$9&lt;=$F11),"■","")</f>
      </c>
      <c r="BV11" s="0">
        <f>IF(AND(BV$9&gt;=$E11,BV$9&lt;=$F11),"■","")</f>
      </c>
      <c r="BW11" s="0">
        <f>IF(AND(BW$9&gt;=$E11,BW$9&lt;=$F11),"■","")</f>
      </c>
    </row>
    <row r="12">
      <c r="A12" s="0" t="inlineStr">
        <is>
          <t>P002-002</t>
        </is>
      </c>
      <c r="B12" s="0">
        <v>2</v>
      </c>
      <c r="C12" s="0" t="inlineStr">
        <is>
          <t>P002-001</t>
        </is>
      </c>
      <c r="D12" s="0" t="inlineStr">
        <is>
          <t>Kick-off</t>
        </is>
      </c>
      <c r="E12" s="3">
        <v>46204</v>
      </c>
      <c r="F12" s="3">
        <v>46206</v>
      </c>
      <c r="G12" s="0">
        <v>6</v>
      </c>
      <c r="H12" s="0">
        <v>600</v>
      </c>
      <c r="I12" s="0" t="inlineStr">
        <is>
          <t>Alice Martin</t>
        </is>
      </c>
      <c r="J12" s="0">
        <f>SUMIFS('Suivi Temps'!$D:$D,'Suivi Temps'!$A:$A,"P002-002")</f>
      </c>
      <c r="K12" s="0" t="inlineStr">
        <is>
          <t/>
        </is>
      </c>
      <c r="L12" s="0">
        <v>1</v>
      </c>
      <c r="M12" s="0" t="inlineStr">
        <is>
          <t/>
        </is>
      </c>
      <c r="N12" s="0" t="inlineStr">
        <is>
          <t/>
        </is>
      </c>
      <c r="O12" s="0" t="inlineStr">
        <is>
          <t/>
        </is>
      </c>
      <c r="P12" s="0">
        <f>IF(AND(P$9&gt;=$E12,P$9&lt;=$F12),"■","")</f>
      </c>
      <c r="Q12" s="0">
        <f>IF(AND(Q$9&gt;=$E12,Q$9&lt;=$F12),"■","")</f>
      </c>
      <c r="R12" s="0">
        <f>IF(AND(R$9&gt;=$E12,R$9&lt;=$F12),"■","")</f>
      </c>
      <c r="S12" s="0">
        <f>IF(AND(S$9&gt;=$E12,S$9&lt;=$F12),"■","")</f>
      </c>
      <c r="T12" s="0">
        <f>IF(AND(T$9&gt;=$E12,T$9&lt;=$F12),"■","")</f>
      </c>
      <c r="U12" s="0">
        <f>IF(AND(U$9&gt;=$E12,U$9&lt;=$F12),"■","")</f>
      </c>
      <c r="V12" s="0">
        <f>IF(AND(V$9&gt;=$E12,V$9&lt;=$F12),"■","")</f>
      </c>
      <c r="W12" s="0">
        <f>IF(AND(W$9&gt;=$E12,W$9&lt;=$F12),"■","")</f>
      </c>
      <c r="X12" s="0">
        <f>IF(AND(X$9&gt;=$E12,X$9&lt;=$F12),"■","")</f>
      </c>
      <c r="Y12" s="0">
        <f>IF(AND(Y$9&gt;=$E12,Y$9&lt;=$F12),"■","")</f>
      </c>
      <c r="Z12" s="0">
        <f>IF(AND(Z$9&gt;=$E12,Z$9&lt;=$F12),"■","")</f>
      </c>
      <c r="AA12" s="0">
        <f>IF(AND(AA$9&gt;=$E12,AA$9&lt;=$F12),"■","")</f>
      </c>
      <c r="AB12" s="0">
        <f>IF(AND(AB$9&gt;=$E12,AB$9&lt;=$F12),"■","")</f>
      </c>
      <c r="AC12" s="0">
        <f>IF(AND(AC$9&gt;=$E12,AC$9&lt;=$F12),"■","")</f>
      </c>
      <c r="AD12" s="0">
        <f>IF(AND(AD$9&gt;=$E12,AD$9&lt;=$F12),"■","")</f>
      </c>
      <c r="AE12" s="0">
        <f>IF(AND(AE$9&gt;=$E12,AE$9&lt;=$F12),"■","")</f>
      </c>
      <c r="AF12" s="0">
        <f>IF(AND(AF$9&gt;=$E12,AF$9&lt;=$F12),"■","")</f>
      </c>
      <c r="AG12" s="0">
        <f>IF(AND(AG$9&gt;=$E12,AG$9&lt;=$F12),"■","")</f>
      </c>
      <c r="AH12" s="0">
        <f>IF(AND(AH$9&gt;=$E12,AH$9&lt;=$F12),"■","")</f>
      </c>
      <c r="AI12" s="0">
        <f>IF(AND(AI$9&gt;=$E12,AI$9&lt;=$F12),"■","")</f>
      </c>
      <c r="AJ12" s="0">
        <f>IF(AND(AJ$9&gt;=$E12,AJ$9&lt;=$F12),"■","")</f>
      </c>
      <c r="AK12" s="0">
        <f>IF(AND(AK$9&gt;=$E12,AK$9&lt;=$F12),"■","")</f>
      </c>
      <c r="AL12" s="0">
        <f>IF(AND(AL$9&gt;=$E12,AL$9&lt;=$F12),"■","")</f>
      </c>
      <c r="AM12" s="0">
        <f>IF(AND(AM$9&gt;=$E12,AM$9&lt;=$F12),"■","")</f>
      </c>
      <c r="AN12" s="0">
        <f>IF(AND(AN$9&gt;=$E12,AN$9&lt;=$F12),"■","")</f>
      </c>
      <c r="AO12" s="0">
        <f>IF(AND(AO$9&gt;=$E12,AO$9&lt;=$F12),"■","")</f>
      </c>
      <c r="AP12" s="0">
        <f>IF(AND(AP$9&gt;=$E12,AP$9&lt;=$F12),"■","")</f>
      </c>
      <c r="AQ12" s="0">
        <f>IF(AND(AQ$9&gt;=$E12,AQ$9&lt;=$F12),"■","")</f>
      </c>
      <c r="AR12" s="0">
        <f>IF(AND(AR$9&gt;=$E12,AR$9&lt;=$F12),"■","")</f>
      </c>
      <c r="AS12" s="0">
        <f>IF(AND(AS$9&gt;=$E12,AS$9&lt;=$F12),"■","")</f>
      </c>
      <c r="AT12" s="0">
        <f>IF(AND(AT$9&gt;=$E12,AT$9&lt;=$F12),"■","")</f>
      </c>
      <c r="AU12" s="0">
        <f>IF(AND(AU$9&gt;=$E12,AU$9&lt;=$F12),"■","")</f>
      </c>
      <c r="AV12" s="0">
        <f>IF(AND(AV$9&gt;=$E12,AV$9&lt;=$F12),"■","")</f>
      </c>
      <c r="AW12" s="0">
        <f>IF(AND(AW$9&gt;=$E12,AW$9&lt;=$F12),"■","")</f>
      </c>
      <c r="AX12" s="0">
        <f>IF(AND(AX$9&gt;=$E12,AX$9&lt;=$F12),"■","")</f>
      </c>
      <c r="AY12" s="0">
        <f>IF(AND(AY$9&gt;=$E12,AY$9&lt;=$F12),"■","")</f>
      </c>
      <c r="AZ12" s="0">
        <f>IF(AND(AZ$9&gt;=$E12,AZ$9&lt;=$F12),"■","")</f>
      </c>
      <c r="BA12" s="0">
        <f>IF(AND(BA$9&gt;=$E12,BA$9&lt;=$F12),"■","")</f>
      </c>
      <c r="BB12" s="0">
        <f>IF(AND(BB$9&gt;=$E12,BB$9&lt;=$F12),"■","")</f>
      </c>
      <c r="BC12" s="0">
        <f>IF(AND(BC$9&gt;=$E12,BC$9&lt;=$F12),"■","")</f>
      </c>
      <c r="BD12" s="0">
        <f>IF(AND(BD$9&gt;=$E12,BD$9&lt;=$F12),"■","")</f>
      </c>
      <c r="BE12" s="0">
        <f>IF(AND(BE$9&gt;=$E12,BE$9&lt;=$F12),"■","")</f>
      </c>
      <c r="BF12" s="0">
        <f>IF(AND(BF$9&gt;=$E12,BF$9&lt;=$F12),"■","")</f>
      </c>
      <c r="BG12" s="0">
        <f>IF(AND(BG$9&gt;=$E12,BG$9&lt;=$F12),"■","")</f>
      </c>
      <c r="BH12" s="0">
        <f>IF(AND(BH$9&gt;=$E12,BH$9&lt;=$F12),"■","")</f>
      </c>
      <c r="BI12" s="0">
        <f>IF(AND(BI$9&gt;=$E12,BI$9&lt;=$F12),"■","")</f>
      </c>
      <c r="BJ12" s="0">
        <f>IF(AND(BJ$9&gt;=$E12,BJ$9&lt;=$F12),"■","")</f>
      </c>
      <c r="BK12" s="0">
        <f>IF(AND(BK$9&gt;=$E12,BK$9&lt;=$F12),"■","")</f>
      </c>
      <c r="BL12" s="0">
        <f>IF(AND(BL$9&gt;=$E12,BL$9&lt;=$F12),"■","")</f>
      </c>
      <c r="BM12" s="0">
        <f>IF(AND(BM$9&gt;=$E12,BM$9&lt;=$F12),"■","")</f>
      </c>
      <c r="BN12" s="0">
        <f>IF(AND(BN$9&gt;=$E12,BN$9&lt;=$F12),"■","")</f>
      </c>
      <c r="BO12" s="0">
        <f>IF(AND(BO$9&gt;=$E12,BO$9&lt;=$F12),"■","")</f>
      </c>
      <c r="BP12" s="0">
        <f>IF(AND(BP$9&gt;=$E12,BP$9&lt;=$F12),"■","")</f>
      </c>
      <c r="BQ12" s="0">
        <f>IF(AND(BQ$9&gt;=$E12,BQ$9&lt;=$F12),"■","")</f>
      </c>
      <c r="BR12" s="0">
        <f>IF(AND(BR$9&gt;=$E12,BR$9&lt;=$F12),"■","")</f>
      </c>
      <c r="BS12" s="0">
        <f>IF(AND(BS$9&gt;=$E12,BS$9&lt;=$F12),"■","")</f>
      </c>
      <c r="BT12" s="0">
        <f>IF(AND(BT$9&gt;=$E12,BT$9&lt;=$F12),"■","")</f>
      </c>
      <c r="BU12" s="0">
        <f>IF(AND(BU$9&gt;=$E12,BU$9&lt;=$F12),"■","")</f>
      </c>
      <c r="BV12" s="0">
        <f>IF(AND(BV$9&gt;=$E12,BV$9&lt;=$F12),"■","")</f>
      </c>
      <c r="BW12" s="0">
        <f>IF(AND(BW$9&gt;=$E12,BW$9&lt;=$F12),"■","")</f>
      </c>
    </row>
    <row r="13">
      <c r="A13" s="0" t="inlineStr">
        <is>
          <t>P002-003</t>
        </is>
      </c>
      <c r="B13" s="0">
        <v>3</v>
      </c>
      <c r="C13" s="0" t="inlineStr">
        <is>
          <t>P002-002</t>
        </is>
      </c>
      <c r="D13" s="0" t="inlineStr">
        <is>
          <t>Collecte besoins</t>
        </is>
      </c>
      <c r="E13" s="3">
        <v>46206</v>
      </c>
      <c r="F13" s="3">
        <v>46211</v>
      </c>
      <c r="G13" s="0">
        <v>10</v>
      </c>
      <c r="H13" s="0">
        <v>1200</v>
      </c>
      <c r="I13" s="0" t="inlineStr">
        <is>
          <t>Karim Benali</t>
        </is>
      </c>
      <c r="J13" s="0">
        <f>SUMIFS('Suivi Temps'!$D:$D,'Suivi Temps'!$A:$A,"P002-003")</f>
      </c>
      <c r="K13" s="0" t="inlineStr">
        <is>
          <t/>
        </is>
      </c>
      <c r="L13" s="0">
        <v>0.6</v>
      </c>
      <c r="M13" s="0" t="inlineStr">
        <is>
          <t/>
        </is>
      </c>
      <c r="N13" s="0" t="inlineStr">
        <is>
          <t/>
        </is>
      </c>
      <c r="O13" s="0" t="inlineStr">
        <is>
          <t/>
        </is>
      </c>
      <c r="P13" s="0">
        <f>IF(AND(P$9&gt;=$E13,P$9&lt;=$F13),"■","")</f>
      </c>
      <c r="Q13" s="0">
        <f>IF(AND(Q$9&gt;=$E13,Q$9&lt;=$F13),"■","")</f>
      </c>
      <c r="R13" s="0">
        <f>IF(AND(R$9&gt;=$E13,R$9&lt;=$F13),"■","")</f>
      </c>
      <c r="S13" s="0">
        <f>IF(AND(S$9&gt;=$E13,S$9&lt;=$F13),"■","")</f>
      </c>
      <c r="T13" s="0">
        <f>IF(AND(T$9&gt;=$E13,T$9&lt;=$F13),"■","")</f>
      </c>
      <c r="U13" s="0">
        <f>IF(AND(U$9&gt;=$E13,U$9&lt;=$F13),"■","")</f>
      </c>
      <c r="V13" s="0">
        <f>IF(AND(V$9&gt;=$E13,V$9&lt;=$F13),"■","")</f>
      </c>
      <c r="W13" s="0">
        <f>IF(AND(W$9&gt;=$E13,W$9&lt;=$F13),"■","")</f>
      </c>
      <c r="X13" s="0">
        <f>IF(AND(X$9&gt;=$E13,X$9&lt;=$F13),"■","")</f>
      </c>
      <c r="Y13" s="0">
        <f>IF(AND(Y$9&gt;=$E13,Y$9&lt;=$F13),"■","")</f>
      </c>
      <c r="Z13" s="0">
        <f>IF(AND(Z$9&gt;=$E13,Z$9&lt;=$F13),"■","")</f>
      </c>
      <c r="AA13" s="0">
        <f>IF(AND(AA$9&gt;=$E13,AA$9&lt;=$F13),"■","")</f>
      </c>
      <c r="AB13" s="0">
        <f>IF(AND(AB$9&gt;=$E13,AB$9&lt;=$F13),"■","")</f>
      </c>
      <c r="AC13" s="0">
        <f>IF(AND(AC$9&gt;=$E13,AC$9&lt;=$F13),"■","")</f>
      </c>
      <c r="AD13" s="0">
        <f>IF(AND(AD$9&gt;=$E13,AD$9&lt;=$F13),"■","")</f>
      </c>
      <c r="AE13" s="0">
        <f>IF(AND(AE$9&gt;=$E13,AE$9&lt;=$F13),"■","")</f>
      </c>
      <c r="AF13" s="0">
        <f>IF(AND(AF$9&gt;=$E13,AF$9&lt;=$F13),"■","")</f>
      </c>
      <c r="AG13" s="0">
        <f>IF(AND(AG$9&gt;=$E13,AG$9&lt;=$F13),"■","")</f>
      </c>
      <c r="AH13" s="0">
        <f>IF(AND(AH$9&gt;=$E13,AH$9&lt;=$F13),"■","")</f>
      </c>
      <c r="AI13" s="0">
        <f>IF(AND(AI$9&gt;=$E13,AI$9&lt;=$F13),"■","")</f>
      </c>
      <c r="AJ13" s="0">
        <f>IF(AND(AJ$9&gt;=$E13,AJ$9&lt;=$F13),"■","")</f>
      </c>
      <c r="AK13" s="0">
        <f>IF(AND(AK$9&gt;=$E13,AK$9&lt;=$F13),"■","")</f>
      </c>
      <c r="AL13" s="0">
        <f>IF(AND(AL$9&gt;=$E13,AL$9&lt;=$F13),"■","")</f>
      </c>
      <c r="AM13" s="0">
        <f>IF(AND(AM$9&gt;=$E13,AM$9&lt;=$F13),"■","")</f>
      </c>
      <c r="AN13" s="0">
        <f>IF(AND(AN$9&gt;=$E13,AN$9&lt;=$F13),"■","")</f>
      </c>
      <c r="AO13" s="0">
        <f>IF(AND(AO$9&gt;=$E13,AO$9&lt;=$F13),"■","")</f>
      </c>
      <c r="AP13" s="0">
        <f>IF(AND(AP$9&gt;=$E13,AP$9&lt;=$F13),"■","")</f>
      </c>
      <c r="AQ13" s="0">
        <f>IF(AND(AQ$9&gt;=$E13,AQ$9&lt;=$F13),"■","")</f>
      </c>
      <c r="AR13" s="0">
        <f>IF(AND(AR$9&gt;=$E13,AR$9&lt;=$F13),"■","")</f>
      </c>
      <c r="AS13" s="0">
        <f>IF(AND(AS$9&gt;=$E13,AS$9&lt;=$F13),"■","")</f>
      </c>
      <c r="AT13" s="0">
        <f>IF(AND(AT$9&gt;=$E13,AT$9&lt;=$F13),"■","")</f>
      </c>
      <c r="AU13" s="0">
        <f>IF(AND(AU$9&gt;=$E13,AU$9&lt;=$F13),"■","")</f>
      </c>
      <c r="AV13" s="0">
        <f>IF(AND(AV$9&gt;=$E13,AV$9&lt;=$F13),"■","")</f>
      </c>
      <c r="AW13" s="0">
        <f>IF(AND(AW$9&gt;=$E13,AW$9&lt;=$F13),"■","")</f>
      </c>
      <c r="AX13" s="0">
        <f>IF(AND(AX$9&gt;=$E13,AX$9&lt;=$F13),"■","")</f>
      </c>
      <c r="AY13" s="0">
        <f>IF(AND(AY$9&gt;=$E13,AY$9&lt;=$F13),"■","")</f>
      </c>
      <c r="AZ13" s="0">
        <f>IF(AND(AZ$9&gt;=$E13,AZ$9&lt;=$F13),"■","")</f>
      </c>
      <c r="BA13" s="0">
        <f>IF(AND(BA$9&gt;=$E13,BA$9&lt;=$F13),"■","")</f>
      </c>
      <c r="BB13" s="0">
        <f>IF(AND(BB$9&gt;=$E13,BB$9&lt;=$F13),"■","")</f>
      </c>
      <c r="BC13" s="0">
        <f>IF(AND(BC$9&gt;=$E13,BC$9&lt;=$F13),"■","")</f>
      </c>
      <c r="BD13" s="0">
        <f>IF(AND(BD$9&gt;=$E13,BD$9&lt;=$F13),"■","")</f>
      </c>
      <c r="BE13" s="0">
        <f>IF(AND(BE$9&gt;=$E13,BE$9&lt;=$F13),"■","")</f>
      </c>
      <c r="BF13" s="0">
        <f>IF(AND(BF$9&gt;=$E13,BF$9&lt;=$F13),"■","")</f>
      </c>
      <c r="BG13" s="0">
        <f>IF(AND(BG$9&gt;=$E13,BG$9&lt;=$F13),"■","")</f>
      </c>
      <c r="BH13" s="0">
        <f>IF(AND(BH$9&gt;=$E13,BH$9&lt;=$F13),"■","")</f>
      </c>
      <c r="BI13" s="0">
        <f>IF(AND(BI$9&gt;=$E13,BI$9&lt;=$F13),"■","")</f>
      </c>
      <c r="BJ13" s="0">
        <f>IF(AND(BJ$9&gt;=$E13,BJ$9&lt;=$F13),"■","")</f>
      </c>
      <c r="BK13" s="0">
        <f>IF(AND(BK$9&gt;=$E13,BK$9&lt;=$F13),"■","")</f>
      </c>
      <c r="BL13" s="0">
        <f>IF(AND(BL$9&gt;=$E13,BL$9&lt;=$F13),"■","")</f>
      </c>
      <c r="BM13" s="0">
        <f>IF(AND(BM$9&gt;=$E13,BM$9&lt;=$F13),"■","")</f>
      </c>
      <c r="BN13" s="0">
        <f>IF(AND(BN$9&gt;=$E13,BN$9&lt;=$F13),"■","")</f>
      </c>
      <c r="BO13" s="0">
        <f>IF(AND(BO$9&gt;=$E13,BO$9&lt;=$F13),"■","")</f>
      </c>
      <c r="BP13" s="0">
        <f>IF(AND(BP$9&gt;=$E13,BP$9&lt;=$F13),"■","")</f>
      </c>
      <c r="BQ13" s="0">
        <f>IF(AND(BQ$9&gt;=$E13,BQ$9&lt;=$F13),"■","")</f>
      </c>
      <c r="BR13" s="0">
        <f>IF(AND(BR$9&gt;=$E13,BR$9&lt;=$F13),"■","")</f>
      </c>
      <c r="BS13" s="0">
        <f>IF(AND(BS$9&gt;=$E13,BS$9&lt;=$F13),"■","")</f>
      </c>
      <c r="BT13" s="0">
        <f>IF(AND(BT$9&gt;=$E13,BT$9&lt;=$F13),"■","")</f>
      </c>
      <c r="BU13" s="0">
        <f>IF(AND(BU$9&gt;=$E13,BU$9&lt;=$F13),"■","")</f>
      </c>
      <c r="BV13" s="0">
        <f>IF(AND(BV$9&gt;=$E13,BV$9&lt;=$F13),"■","")</f>
      </c>
      <c r="BW13" s="0">
        <f>IF(AND(BW$9&gt;=$E13,BW$9&lt;=$F13),"■","")</f>
      </c>
    </row>
    <row r="14">
      <c r="A14" s="0" t="inlineStr">
        <is>
          <t>P002-004</t>
        </is>
      </c>
      <c r="B14" s="0">
        <v>4</v>
      </c>
      <c r="C14" s="0" t="inlineStr">
        <is>
          <t>P002-003</t>
        </is>
      </c>
      <c r="D14" s="0" t="inlineStr">
        <is>
          <t>Atelier métiers #1</t>
        </is>
      </c>
      <c r="E14" s="3">
        <v>46207</v>
      </c>
      <c r="F14" s="3">
        <v>46211</v>
      </c>
      <c r="G14" s="0">
        <v>4</v>
      </c>
      <c r="H14" s="0">
        <v>500</v>
      </c>
      <c r="I14" s="0" t="inlineStr">
        <is>
          <t>Léa Dubois</t>
        </is>
      </c>
      <c r="J14" s="0">
        <f>SUMIFS('Suivi Temps'!$D:$D,'Suivi Temps'!$A:$A,"P002-004")</f>
      </c>
      <c r="K14" s="0" t="inlineStr">
        <is>
          <t/>
        </is>
      </c>
      <c r="L14" s="0">
        <v>0.5</v>
      </c>
      <c r="M14" s="0" t="inlineStr">
        <is>
          <t/>
        </is>
      </c>
      <c r="N14" s="0" t="inlineStr">
        <is>
          <t/>
        </is>
      </c>
      <c r="O14" s="0" t="inlineStr">
        <is>
          <t/>
        </is>
      </c>
      <c r="P14" s="0">
        <f>IF(AND(P$9&gt;=$E14,P$9&lt;=$F14),"■","")</f>
      </c>
      <c r="Q14" s="0">
        <f>IF(AND(Q$9&gt;=$E14,Q$9&lt;=$F14),"■","")</f>
      </c>
      <c r="R14" s="0">
        <f>IF(AND(R$9&gt;=$E14,R$9&lt;=$F14),"■","")</f>
      </c>
      <c r="S14" s="0">
        <f>IF(AND(S$9&gt;=$E14,S$9&lt;=$F14),"■","")</f>
      </c>
      <c r="T14" s="0">
        <f>IF(AND(T$9&gt;=$E14,T$9&lt;=$F14),"■","")</f>
      </c>
      <c r="U14" s="0">
        <f>IF(AND(U$9&gt;=$E14,U$9&lt;=$F14),"■","")</f>
      </c>
      <c r="V14" s="0">
        <f>IF(AND(V$9&gt;=$E14,V$9&lt;=$F14),"■","")</f>
      </c>
      <c r="W14" s="0">
        <f>IF(AND(W$9&gt;=$E14,W$9&lt;=$F14),"■","")</f>
      </c>
      <c r="X14" s="0">
        <f>IF(AND(X$9&gt;=$E14,X$9&lt;=$F14),"■","")</f>
      </c>
      <c r="Y14" s="0">
        <f>IF(AND(Y$9&gt;=$E14,Y$9&lt;=$F14),"■","")</f>
      </c>
      <c r="Z14" s="0">
        <f>IF(AND(Z$9&gt;=$E14,Z$9&lt;=$F14),"■","")</f>
      </c>
      <c r="AA14" s="0">
        <f>IF(AND(AA$9&gt;=$E14,AA$9&lt;=$F14),"■","")</f>
      </c>
      <c r="AB14" s="0">
        <f>IF(AND(AB$9&gt;=$E14,AB$9&lt;=$F14),"■","")</f>
      </c>
      <c r="AC14" s="0">
        <f>IF(AND(AC$9&gt;=$E14,AC$9&lt;=$F14),"■","")</f>
      </c>
      <c r="AD14" s="0">
        <f>IF(AND(AD$9&gt;=$E14,AD$9&lt;=$F14),"■","")</f>
      </c>
      <c r="AE14" s="0">
        <f>IF(AND(AE$9&gt;=$E14,AE$9&lt;=$F14),"■","")</f>
      </c>
      <c r="AF14" s="0">
        <f>IF(AND(AF$9&gt;=$E14,AF$9&lt;=$F14),"■","")</f>
      </c>
      <c r="AG14" s="0">
        <f>IF(AND(AG$9&gt;=$E14,AG$9&lt;=$F14),"■","")</f>
      </c>
      <c r="AH14" s="0">
        <f>IF(AND(AH$9&gt;=$E14,AH$9&lt;=$F14),"■","")</f>
      </c>
      <c r="AI14" s="0">
        <f>IF(AND(AI$9&gt;=$E14,AI$9&lt;=$F14),"■","")</f>
      </c>
      <c r="AJ14" s="0">
        <f>IF(AND(AJ$9&gt;=$E14,AJ$9&lt;=$F14),"■","")</f>
      </c>
      <c r="AK14" s="0">
        <f>IF(AND(AK$9&gt;=$E14,AK$9&lt;=$F14),"■","")</f>
      </c>
      <c r="AL14" s="0">
        <f>IF(AND(AL$9&gt;=$E14,AL$9&lt;=$F14),"■","")</f>
      </c>
      <c r="AM14" s="0">
        <f>IF(AND(AM$9&gt;=$E14,AM$9&lt;=$F14),"■","")</f>
      </c>
      <c r="AN14" s="0">
        <f>IF(AND(AN$9&gt;=$E14,AN$9&lt;=$F14),"■","")</f>
      </c>
      <c r="AO14" s="0">
        <f>IF(AND(AO$9&gt;=$E14,AO$9&lt;=$F14),"■","")</f>
      </c>
      <c r="AP14" s="0">
        <f>IF(AND(AP$9&gt;=$E14,AP$9&lt;=$F14),"■","")</f>
      </c>
      <c r="AQ14" s="0">
        <f>IF(AND(AQ$9&gt;=$E14,AQ$9&lt;=$F14),"■","")</f>
      </c>
      <c r="AR14" s="0">
        <f>IF(AND(AR$9&gt;=$E14,AR$9&lt;=$F14),"■","")</f>
      </c>
      <c r="AS14" s="0">
        <f>IF(AND(AS$9&gt;=$E14,AS$9&lt;=$F14),"■","")</f>
      </c>
      <c r="AT14" s="0">
        <f>IF(AND(AT$9&gt;=$E14,AT$9&lt;=$F14),"■","")</f>
      </c>
      <c r="AU14" s="0">
        <f>IF(AND(AU$9&gt;=$E14,AU$9&lt;=$F14),"■","")</f>
      </c>
      <c r="AV14" s="0">
        <f>IF(AND(AV$9&gt;=$E14,AV$9&lt;=$F14),"■","")</f>
      </c>
      <c r="AW14" s="0">
        <f>IF(AND(AW$9&gt;=$E14,AW$9&lt;=$F14),"■","")</f>
      </c>
      <c r="AX14" s="0">
        <f>IF(AND(AX$9&gt;=$E14,AX$9&lt;=$F14),"■","")</f>
      </c>
      <c r="AY14" s="0">
        <f>IF(AND(AY$9&gt;=$E14,AY$9&lt;=$F14),"■","")</f>
      </c>
      <c r="AZ14" s="0">
        <f>IF(AND(AZ$9&gt;=$E14,AZ$9&lt;=$F14),"■","")</f>
      </c>
      <c r="BA14" s="0">
        <f>IF(AND(BA$9&gt;=$E14,BA$9&lt;=$F14),"■","")</f>
      </c>
      <c r="BB14" s="0">
        <f>IF(AND(BB$9&gt;=$E14,BB$9&lt;=$F14),"■","")</f>
      </c>
      <c r="BC14" s="0">
        <f>IF(AND(BC$9&gt;=$E14,BC$9&lt;=$F14),"■","")</f>
      </c>
      <c r="BD14" s="0">
        <f>IF(AND(BD$9&gt;=$E14,BD$9&lt;=$F14),"■","")</f>
      </c>
      <c r="BE14" s="0">
        <f>IF(AND(BE$9&gt;=$E14,BE$9&lt;=$F14),"■","")</f>
      </c>
      <c r="BF14" s="0">
        <f>IF(AND(BF$9&gt;=$E14,BF$9&lt;=$F14),"■","")</f>
      </c>
      <c r="BG14" s="0">
        <f>IF(AND(BG$9&gt;=$E14,BG$9&lt;=$F14),"■","")</f>
      </c>
      <c r="BH14" s="0">
        <f>IF(AND(BH$9&gt;=$E14,BH$9&lt;=$F14),"■","")</f>
      </c>
      <c r="BI14" s="0">
        <f>IF(AND(BI$9&gt;=$E14,BI$9&lt;=$F14),"■","")</f>
      </c>
      <c r="BJ14" s="0">
        <f>IF(AND(BJ$9&gt;=$E14,BJ$9&lt;=$F14),"■","")</f>
      </c>
      <c r="BK14" s="0">
        <f>IF(AND(BK$9&gt;=$E14,BK$9&lt;=$F14),"■","")</f>
      </c>
      <c r="BL14" s="0">
        <f>IF(AND(BL$9&gt;=$E14,BL$9&lt;=$F14),"■","")</f>
      </c>
      <c r="BM14" s="0">
        <f>IF(AND(BM$9&gt;=$E14,BM$9&lt;=$F14),"■","")</f>
      </c>
      <c r="BN14" s="0">
        <f>IF(AND(BN$9&gt;=$E14,BN$9&lt;=$F14),"■","")</f>
      </c>
      <c r="BO14" s="0">
        <f>IF(AND(BO$9&gt;=$E14,BO$9&lt;=$F14),"■","")</f>
      </c>
      <c r="BP14" s="0">
        <f>IF(AND(BP$9&gt;=$E14,BP$9&lt;=$F14),"■","")</f>
      </c>
      <c r="BQ14" s="0">
        <f>IF(AND(BQ$9&gt;=$E14,BQ$9&lt;=$F14),"■","")</f>
      </c>
      <c r="BR14" s="0">
        <f>IF(AND(BR$9&gt;=$E14,BR$9&lt;=$F14),"■","")</f>
      </c>
      <c r="BS14" s="0">
        <f>IF(AND(BS$9&gt;=$E14,BS$9&lt;=$F14),"■","")</f>
      </c>
      <c r="BT14" s="0">
        <f>IF(AND(BT$9&gt;=$E14,BT$9&lt;=$F14),"■","")</f>
      </c>
      <c r="BU14" s="0">
        <f>IF(AND(BU$9&gt;=$E14,BU$9&lt;=$F14),"■","")</f>
      </c>
      <c r="BV14" s="0">
        <f>IF(AND(BV$9&gt;=$E14,BV$9&lt;=$F14),"■","")</f>
      </c>
      <c r="BW14" s="0">
        <f>IF(AND(BW$9&gt;=$E14,BW$9&lt;=$F14),"■","")</f>
      </c>
    </row>
    <row r="15">
      <c r="A15" s="0" t="inlineStr">
        <is>
          <t>P002-005</t>
        </is>
      </c>
      <c r="B15" s="0">
        <v>1</v>
      </c>
      <c r="C15" s="0" t="inlineStr">
        <is>
          <t/>
        </is>
      </c>
      <c r="D15" s="0" t="inlineStr">
        <is>
          <t>Réalisation</t>
        </is>
      </c>
      <c r="E15" s="3">
        <v>46215</v>
      </c>
      <c r="F15" s="3">
        <v>46250</v>
      </c>
      <c r="G15" s="0">
        <v>80</v>
      </c>
      <c r="H15" s="0">
        <v>12000</v>
      </c>
      <c r="I15" s="0" t="inlineStr">
        <is>
          <t>Alice Martin; Léa Dubois</t>
        </is>
      </c>
      <c r="J15" s="0">
        <f>SUMIFS('Suivi Temps'!$D:$D,'Suivi Temps'!$A:$A,"P002-005")</f>
      </c>
      <c r="K15" s="0" t="inlineStr">
        <is>
          <t/>
        </is>
      </c>
      <c r="L15" s="0">
        <v>0.25</v>
      </c>
      <c r="M15" s="0" t="inlineStr">
        <is>
          <t/>
        </is>
      </c>
      <c r="N15" s="0" t="inlineStr">
        <is>
          <t/>
        </is>
      </c>
      <c r="O15" s="0" t="inlineStr">
        <is>
          <t/>
        </is>
      </c>
      <c r="P15" s="0">
        <f>IF(AND(P$9&gt;=$E15,P$9&lt;=$F15),"■","")</f>
      </c>
      <c r="Q15" s="0">
        <f>IF(AND(Q$9&gt;=$E15,Q$9&lt;=$F15),"■","")</f>
      </c>
      <c r="R15" s="0">
        <f>IF(AND(R$9&gt;=$E15,R$9&lt;=$F15),"■","")</f>
      </c>
      <c r="S15" s="0">
        <f>IF(AND(S$9&gt;=$E15,S$9&lt;=$F15),"■","")</f>
      </c>
      <c r="T15" s="0">
        <f>IF(AND(T$9&gt;=$E15,T$9&lt;=$F15),"■","")</f>
      </c>
      <c r="U15" s="0">
        <f>IF(AND(U$9&gt;=$E15,U$9&lt;=$F15),"■","")</f>
      </c>
      <c r="V15" s="0">
        <f>IF(AND(V$9&gt;=$E15,V$9&lt;=$F15),"■","")</f>
      </c>
      <c r="W15" s="0">
        <f>IF(AND(W$9&gt;=$E15,W$9&lt;=$F15),"■","")</f>
      </c>
      <c r="X15" s="0">
        <f>IF(AND(X$9&gt;=$E15,X$9&lt;=$F15),"■","")</f>
      </c>
      <c r="Y15" s="0">
        <f>IF(AND(Y$9&gt;=$E15,Y$9&lt;=$F15),"■","")</f>
      </c>
      <c r="Z15" s="0">
        <f>IF(AND(Z$9&gt;=$E15,Z$9&lt;=$F15),"■","")</f>
      </c>
      <c r="AA15" s="0">
        <f>IF(AND(AA$9&gt;=$E15,AA$9&lt;=$F15),"■","")</f>
      </c>
      <c r="AB15" s="0">
        <f>IF(AND(AB$9&gt;=$E15,AB$9&lt;=$F15),"■","")</f>
      </c>
      <c r="AC15" s="0">
        <f>IF(AND(AC$9&gt;=$E15,AC$9&lt;=$F15),"■","")</f>
      </c>
      <c r="AD15" s="0">
        <f>IF(AND(AD$9&gt;=$E15,AD$9&lt;=$F15),"■","")</f>
      </c>
      <c r="AE15" s="0">
        <f>IF(AND(AE$9&gt;=$E15,AE$9&lt;=$F15),"■","")</f>
      </c>
      <c r="AF15" s="0">
        <f>IF(AND(AF$9&gt;=$E15,AF$9&lt;=$F15),"■","")</f>
      </c>
      <c r="AG15" s="0">
        <f>IF(AND(AG$9&gt;=$E15,AG$9&lt;=$F15),"■","")</f>
      </c>
      <c r="AH15" s="0">
        <f>IF(AND(AH$9&gt;=$E15,AH$9&lt;=$F15),"■","")</f>
      </c>
      <c r="AI15" s="0">
        <f>IF(AND(AI$9&gt;=$E15,AI$9&lt;=$F15),"■","")</f>
      </c>
      <c r="AJ15" s="0">
        <f>IF(AND(AJ$9&gt;=$E15,AJ$9&lt;=$F15),"■","")</f>
      </c>
      <c r="AK15" s="0">
        <f>IF(AND(AK$9&gt;=$E15,AK$9&lt;=$F15),"■","")</f>
      </c>
      <c r="AL15" s="0">
        <f>IF(AND(AL$9&gt;=$E15,AL$9&lt;=$F15),"■","")</f>
      </c>
      <c r="AM15" s="0">
        <f>IF(AND(AM$9&gt;=$E15,AM$9&lt;=$F15),"■","")</f>
      </c>
      <c r="AN15" s="0">
        <f>IF(AND(AN$9&gt;=$E15,AN$9&lt;=$F15),"■","")</f>
      </c>
      <c r="AO15" s="0">
        <f>IF(AND(AO$9&gt;=$E15,AO$9&lt;=$F15),"■","")</f>
      </c>
      <c r="AP15" s="0">
        <f>IF(AND(AP$9&gt;=$E15,AP$9&lt;=$F15),"■","")</f>
      </c>
      <c r="AQ15" s="0">
        <f>IF(AND(AQ$9&gt;=$E15,AQ$9&lt;=$F15),"■","")</f>
      </c>
      <c r="AR15" s="0">
        <f>IF(AND(AR$9&gt;=$E15,AR$9&lt;=$F15),"■","")</f>
      </c>
      <c r="AS15" s="0">
        <f>IF(AND(AS$9&gt;=$E15,AS$9&lt;=$F15),"■","")</f>
      </c>
      <c r="AT15" s="0">
        <f>IF(AND(AT$9&gt;=$E15,AT$9&lt;=$F15),"■","")</f>
      </c>
      <c r="AU15" s="0">
        <f>IF(AND(AU$9&gt;=$E15,AU$9&lt;=$F15),"■","")</f>
      </c>
      <c r="AV15" s="0">
        <f>IF(AND(AV$9&gt;=$E15,AV$9&lt;=$F15),"■","")</f>
      </c>
      <c r="AW15" s="0">
        <f>IF(AND(AW$9&gt;=$E15,AW$9&lt;=$F15),"■","")</f>
      </c>
      <c r="AX15" s="0">
        <f>IF(AND(AX$9&gt;=$E15,AX$9&lt;=$F15),"■","")</f>
      </c>
      <c r="AY15" s="0">
        <f>IF(AND(AY$9&gt;=$E15,AY$9&lt;=$F15),"■","")</f>
      </c>
      <c r="AZ15" s="0">
        <f>IF(AND(AZ$9&gt;=$E15,AZ$9&lt;=$F15),"■","")</f>
      </c>
      <c r="BA15" s="0">
        <f>IF(AND(BA$9&gt;=$E15,BA$9&lt;=$F15),"■","")</f>
      </c>
      <c r="BB15" s="0">
        <f>IF(AND(BB$9&gt;=$E15,BB$9&lt;=$F15),"■","")</f>
      </c>
      <c r="BC15" s="0">
        <f>IF(AND(BC$9&gt;=$E15,BC$9&lt;=$F15),"■","")</f>
      </c>
      <c r="BD15" s="0">
        <f>IF(AND(BD$9&gt;=$E15,BD$9&lt;=$F15),"■","")</f>
      </c>
      <c r="BE15" s="0">
        <f>IF(AND(BE$9&gt;=$E15,BE$9&lt;=$F15),"■","")</f>
      </c>
      <c r="BF15" s="0">
        <f>IF(AND(BF$9&gt;=$E15,BF$9&lt;=$F15),"■","")</f>
      </c>
      <c r="BG15" s="0">
        <f>IF(AND(BG$9&gt;=$E15,BG$9&lt;=$F15),"■","")</f>
      </c>
      <c r="BH15" s="0">
        <f>IF(AND(BH$9&gt;=$E15,BH$9&lt;=$F15),"■","")</f>
      </c>
      <c r="BI15" s="0">
        <f>IF(AND(BI$9&gt;=$E15,BI$9&lt;=$F15),"■","")</f>
      </c>
      <c r="BJ15" s="0">
        <f>IF(AND(BJ$9&gt;=$E15,BJ$9&lt;=$F15),"■","")</f>
      </c>
      <c r="BK15" s="0">
        <f>IF(AND(BK$9&gt;=$E15,BK$9&lt;=$F15),"■","")</f>
      </c>
      <c r="BL15" s="0">
        <f>IF(AND(BL$9&gt;=$E15,BL$9&lt;=$F15),"■","")</f>
      </c>
      <c r="BM15" s="0">
        <f>IF(AND(BM$9&gt;=$E15,BM$9&lt;=$F15),"■","")</f>
      </c>
      <c r="BN15" s="0">
        <f>IF(AND(BN$9&gt;=$E15,BN$9&lt;=$F15),"■","")</f>
      </c>
      <c r="BO15" s="0">
        <f>IF(AND(BO$9&gt;=$E15,BO$9&lt;=$F15),"■","")</f>
      </c>
      <c r="BP15" s="0">
        <f>IF(AND(BP$9&gt;=$E15,BP$9&lt;=$F15),"■","")</f>
      </c>
      <c r="BQ15" s="0">
        <f>IF(AND(BQ$9&gt;=$E15,BQ$9&lt;=$F15),"■","")</f>
      </c>
      <c r="BR15" s="0">
        <f>IF(AND(BR$9&gt;=$E15,BR$9&lt;=$F15),"■","")</f>
      </c>
      <c r="BS15" s="0">
        <f>IF(AND(BS$9&gt;=$E15,BS$9&lt;=$F15),"■","")</f>
      </c>
      <c r="BT15" s="0">
        <f>IF(AND(BT$9&gt;=$E15,BT$9&lt;=$F15),"■","")</f>
      </c>
      <c r="BU15" s="0">
        <f>IF(AND(BU$9&gt;=$E15,BU$9&lt;=$F15),"■","")</f>
      </c>
      <c r="BV15" s="0">
        <f>IF(AND(BV$9&gt;=$E15,BV$9&lt;=$F15),"■","")</f>
      </c>
      <c r="BW15" s="0">
        <f>IF(AND(BW$9&gt;=$E15,BW$9&lt;=$F15),"■","")</f>
      </c>
    </row>
    <row r="16">
      <c r="A16" s="0" t="inlineStr">
        <is>
          <t>P002-006</t>
        </is>
      </c>
      <c r="B16" s="0">
        <v>2</v>
      </c>
      <c r="C16" s="0" t="inlineStr">
        <is>
          <t>P002-005</t>
        </is>
      </c>
      <c r="D16" s="0" t="inlineStr">
        <is>
          <t>Conception</t>
        </is>
      </c>
      <c r="E16" s="3">
        <v>46215</v>
      </c>
      <c r="F16" s="3">
        <v>46233</v>
      </c>
      <c r="G16" s="0">
        <v>22</v>
      </c>
      <c r="H16" s="0">
        <v>3500</v>
      </c>
      <c r="I16" s="0" t="inlineStr">
        <is>
          <t>Léa Dubois</t>
        </is>
      </c>
      <c r="J16" s="0">
        <f>SUMIFS('Suivi Temps'!$D:$D,'Suivi Temps'!$A:$A,"P002-006")</f>
      </c>
      <c r="K16" s="0" t="inlineStr">
        <is>
          <t/>
        </is>
      </c>
      <c r="L16" s="0">
        <v>0.4</v>
      </c>
      <c r="M16" s="0" t="inlineStr">
        <is>
          <t/>
        </is>
      </c>
      <c r="N16" s="0" t="inlineStr">
        <is>
          <t/>
        </is>
      </c>
      <c r="O16" s="0" t="inlineStr">
        <is>
          <t/>
        </is>
      </c>
      <c r="P16" s="0">
        <f>IF(AND(P$9&gt;=$E16,P$9&lt;=$F16),"■","")</f>
      </c>
      <c r="Q16" s="0">
        <f>IF(AND(Q$9&gt;=$E16,Q$9&lt;=$F16),"■","")</f>
      </c>
      <c r="R16" s="0">
        <f>IF(AND(R$9&gt;=$E16,R$9&lt;=$F16),"■","")</f>
      </c>
      <c r="S16" s="0">
        <f>IF(AND(S$9&gt;=$E16,S$9&lt;=$F16),"■","")</f>
      </c>
      <c r="T16" s="0">
        <f>IF(AND(T$9&gt;=$E16,T$9&lt;=$F16),"■","")</f>
      </c>
      <c r="U16" s="0">
        <f>IF(AND(U$9&gt;=$E16,U$9&lt;=$F16),"■","")</f>
      </c>
      <c r="V16" s="0">
        <f>IF(AND(V$9&gt;=$E16,V$9&lt;=$F16),"■","")</f>
      </c>
      <c r="W16" s="0">
        <f>IF(AND(W$9&gt;=$E16,W$9&lt;=$F16),"■","")</f>
      </c>
      <c r="X16" s="0">
        <f>IF(AND(X$9&gt;=$E16,X$9&lt;=$F16),"■","")</f>
      </c>
      <c r="Y16" s="0">
        <f>IF(AND(Y$9&gt;=$E16,Y$9&lt;=$F16),"■","")</f>
      </c>
      <c r="Z16" s="0">
        <f>IF(AND(Z$9&gt;=$E16,Z$9&lt;=$F16),"■","")</f>
      </c>
      <c r="AA16" s="0">
        <f>IF(AND(AA$9&gt;=$E16,AA$9&lt;=$F16),"■","")</f>
      </c>
      <c r="AB16" s="0">
        <f>IF(AND(AB$9&gt;=$E16,AB$9&lt;=$F16),"■","")</f>
      </c>
      <c r="AC16" s="0">
        <f>IF(AND(AC$9&gt;=$E16,AC$9&lt;=$F16),"■","")</f>
      </c>
      <c r="AD16" s="0">
        <f>IF(AND(AD$9&gt;=$E16,AD$9&lt;=$F16),"■","")</f>
      </c>
      <c r="AE16" s="0">
        <f>IF(AND(AE$9&gt;=$E16,AE$9&lt;=$F16),"■","")</f>
      </c>
      <c r="AF16" s="0">
        <f>IF(AND(AF$9&gt;=$E16,AF$9&lt;=$F16),"■","")</f>
      </c>
      <c r="AG16" s="0">
        <f>IF(AND(AG$9&gt;=$E16,AG$9&lt;=$F16),"■","")</f>
      </c>
      <c r="AH16" s="0">
        <f>IF(AND(AH$9&gt;=$E16,AH$9&lt;=$F16),"■","")</f>
      </c>
      <c r="AI16" s="0">
        <f>IF(AND(AI$9&gt;=$E16,AI$9&lt;=$F16),"■","")</f>
      </c>
      <c r="AJ16" s="0">
        <f>IF(AND(AJ$9&gt;=$E16,AJ$9&lt;=$F16),"■","")</f>
      </c>
      <c r="AK16" s="0">
        <f>IF(AND(AK$9&gt;=$E16,AK$9&lt;=$F16),"■","")</f>
      </c>
      <c r="AL16" s="0">
        <f>IF(AND(AL$9&gt;=$E16,AL$9&lt;=$F16),"■","")</f>
      </c>
      <c r="AM16" s="0">
        <f>IF(AND(AM$9&gt;=$E16,AM$9&lt;=$F16),"■","")</f>
      </c>
      <c r="AN16" s="0">
        <f>IF(AND(AN$9&gt;=$E16,AN$9&lt;=$F16),"■","")</f>
      </c>
      <c r="AO16" s="0">
        <f>IF(AND(AO$9&gt;=$E16,AO$9&lt;=$F16),"■","")</f>
      </c>
      <c r="AP16" s="0">
        <f>IF(AND(AP$9&gt;=$E16,AP$9&lt;=$F16),"■","")</f>
      </c>
      <c r="AQ16" s="0">
        <f>IF(AND(AQ$9&gt;=$E16,AQ$9&lt;=$F16),"■","")</f>
      </c>
      <c r="AR16" s="0">
        <f>IF(AND(AR$9&gt;=$E16,AR$9&lt;=$F16),"■","")</f>
      </c>
      <c r="AS16" s="0">
        <f>IF(AND(AS$9&gt;=$E16,AS$9&lt;=$F16),"■","")</f>
      </c>
      <c r="AT16" s="0">
        <f>IF(AND(AT$9&gt;=$E16,AT$9&lt;=$F16),"■","")</f>
      </c>
      <c r="AU16" s="0">
        <f>IF(AND(AU$9&gt;=$E16,AU$9&lt;=$F16),"■","")</f>
      </c>
      <c r="AV16" s="0">
        <f>IF(AND(AV$9&gt;=$E16,AV$9&lt;=$F16),"■","")</f>
      </c>
      <c r="AW16" s="0">
        <f>IF(AND(AW$9&gt;=$E16,AW$9&lt;=$F16),"■","")</f>
      </c>
      <c r="AX16" s="0">
        <f>IF(AND(AX$9&gt;=$E16,AX$9&lt;=$F16),"■","")</f>
      </c>
      <c r="AY16" s="0">
        <f>IF(AND(AY$9&gt;=$E16,AY$9&lt;=$F16),"■","")</f>
      </c>
      <c r="AZ16" s="0">
        <f>IF(AND(AZ$9&gt;=$E16,AZ$9&lt;=$F16),"■","")</f>
      </c>
      <c r="BA16" s="0">
        <f>IF(AND(BA$9&gt;=$E16,BA$9&lt;=$F16),"■","")</f>
      </c>
      <c r="BB16" s="0">
        <f>IF(AND(BB$9&gt;=$E16,BB$9&lt;=$F16),"■","")</f>
      </c>
      <c r="BC16" s="0">
        <f>IF(AND(BC$9&gt;=$E16,BC$9&lt;=$F16),"■","")</f>
      </c>
      <c r="BD16" s="0">
        <f>IF(AND(BD$9&gt;=$E16,BD$9&lt;=$F16),"■","")</f>
      </c>
      <c r="BE16" s="0">
        <f>IF(AND(BE$9&gt;=$E16,BE$9&lt;=$F16),"■","")</f>
      </c>
      <c r="BF16" s="0">
        <f>IF(AND(BF$9&gt;=$E16,BF$9&lt;=$F16),"■","")</f>
      </c>
      <c r="BG16" s="0">
        <f>IF(AND(BG$9&gt;=$E16,BG$9&lt;=$F16),"■","")</f>
      </c>
      <c r="BH16" s="0">
        <f>IF(AND(BH$9&gt;=$E16,BH$9&lt;=$F16),"■","")</f>
      </c>
      <c r="BI16" s="0">
        <f>IF(AND(BI$9&gt;=$E16,BI$9&lt;=$F16),"■","")</f>
      </c>
      <c r="BJ16" s="0">
        <f>IF(AND(BJ$9&gt;=$E16,BJ$9&lt;=$F16),"■","")</f>
      </c>
      <c r="BK16" s="0">
        <f>IF(AND(BK$9&gt;=$E16,BK$9&lt;=$F16),"■","")</f>
      </c>
      <c r="BL16" s="0">
        <f>IF(AND(BL$9&gt;=$E16,BL$9&lt;=$F16),"■","")</f>
      </c>
      <c r="BM16" s="0">
        <f>IF(AND(BM$9&gt;=$E16,BM$9&lt;=$F16),"■","")</f>
      </c>
      <c r="BN16" s="0">
        <f>IF(AND(BN$9&gt;=$E16,BN$9&lt;=$F16),"■","")</f>
      </c>
      <c r="BO16" s="0">
        <f>IF(AND(BO$9&gt;=$E16,BO$9&lt;=$F16),"■","")</f>
      </c>
      <c r="BP16" s="0">
        <f>IF(AND(BP$9&gt;=$E16,BP$9&lt;=$F16),"■","")</f>
      </c>
      <c r="BQ16" s="0">
        <f>IF(AND(BQ$9&gt;=$E16,BQ$9&lt;=$F16),"■","")</f>
      </c>
      <c r="BR16" s="0">
        <f>IF(AND(BR$9&gt;=$E16,BR$9&lt;=$F16),"■","")</f>
      </c>
      <c r="BS16" s="0">
        <f>IF(AND(BS$9&gt;=$E16,BS$9&lt;=$F16),"■","")</f>
      </c>
      <c r="BT16" s="0">
        <f>IF(AND(BT$9&gt;=$E16,BT$9&lt;=$F16),"■","")</f>
      </c>
      <c r="BU16" s="0">
        <f>IF(AND(BU$9&gt;=$E16,BU$9&lt;=$F16),"■","")</f>
      </c>
      <c r="BV16" s="0">
        <f>IF(AND(BV$9&gt;=$E16,BV$9&lt;=$F16),"■","")</f>
      </c>
      <c r="BW16" s="0">
        <f>IF(AND(BW$9&gt;=$E16,BW$9&lt;=$F16),"■","")</f>
      </c>
    </row>
    <row r="17">
      <c r="A17" s="0" t="inlineStr">
        <is>
          <t>P002-007</t>
        </is>
      </c>
      <c r="B17" s="0">
        <v>3</v>
      </c>
      <c r="C17" s="0" t="inlineStr">
        <is>
          <t>P002-006</t>
        </is>
      </c>
      <c r="D17" s="0" t="inlineStr">
        <is>
          <t>Développement lot 1</t>
        </is>
      </c>
      <c r="E17" s="3">
        <v>46222</v>
      </c>
      <c r="F17" s="3">
        <v>46250</v>
      </c>
      <c r="G17" s="0">
        <v>36</v>
      </c>
      <c r="H17" s="0">
        <v>5200</v>
      </c>
      <c r="I17" s="0" t="inlineStr">
        <is>
          <t>Karim Benali</t>
        </is>
      </c>
      <c r="J17" s="0">
        <f>SUMIFS('Suivi Temps'!$D:$D,'Suivi Temps'!$A:$A,"P002-007")</f>
      </c>
      <c r="K17" s="0" t="inlineStr">
        <is>
          <t/>
        </is>
      </c>
      <c r="L17" s="0">
        <v>0.2</v>
      </c>
      <c r="M17" s="0" t="inlineStr">
        <is>
          <t/>
        </is>
      </c>
      <c r="N17" s="0" t="inlineStr">
        <is>
          <t/>
        </is>
      </c>
      <c r="O17" s="0" t="inlineStr">
        <is>
          <t/>
        </is>
      </c>
      <c r="P17" s="0">
        <f>IF(AND(P$9&gt;=$E17,P$9&lt;=$F17),"■","")</f>
      </c>
      <c r="Q17" s="0">
        <f>IF(AND(Q$9&gt;=$E17,Q$9&lt;=$F17),"■","")</f>
      </c>
      <c r="R17" s="0">
        <f>IF(AND(R$9&gt;=$E17,R$9&lt;=$F17),"■","")</f>
      </c>
      <c r="S17" s="0">
        <f>IF(AND(S$9&gt;=$E17,S$9&lt;=$F17),"■","")</f>
      </c>
      <c r="T17" s="0">
        <f>IF(AND(T$9&gt;=$E17,T$9&lt;=$F17),"■","")</f>
      </c>
      <c r="U17" s="0">
        <f>IF(AND(U$9&gt;=$E17,U$9&lt;=$F17),"■","")</f>
      </c>
      <c r="V17" s="0">
        <f>IF(AND(V$9&gt;=$E17,V$9&lt;=$F17),"■","")</f>
      </c>
      <c r="W17" s="0">
        <f>IF(AND(W$9&gt;=$E17,W$9&lt;=$F17),"■","")</f>
      </c>
      <c r="X17" s="0">
        <f>IF(AND(X$9&gt;=$E17,X$9&lt;=$F17),"■","")</f>
      </c>
      <c r="Y17" s="0">
        <f>IF(AND(Y$9&gt;=$E17,Y$9&lt;=$F17),"■","")</f>
      </c>
      <c r="Z17" s="0">
        <f>IF(AND(Z$9&gt;=$E17,Z$9&lt;=$F17),"■","")</f>
      </c>
      <c r="AA17" s="0">
        <f>IF(AND(AA$9&gt;=$E17,AA$9&lt;=$F17),"■","")</f>
      </c>
      <c r="AB17" s="0">
        <f>IF(AND(AB$9&gt;=$E17,AB$9&lt;=$F17),"■","")</f>
      </c>
      <c r="AC17" s="0">
        <f>IF(AND(AC$9&gt;=$E17,AC$9&lt;=$F17),"■","")</f>
      </c>
      <c r="AD17" s="0">
        <f>IF(AND(AD$9&gt;=$E17,AD$9&lt;=$F17),"■","")</f>
      </c>
      <c r="AE17" s="0">
        <f>IF(AND(AE$9&gt;=$E17,AE$9&lt;=$F17),"■","")</f>
      </c>
      <c r="AF17" s="0">
        <f>IF(AND(AF$9&gt;=$E17,AF$9&lt;=$F17),"■","")</f>
      </c>
      <c r="AG17" s="0">
        <f>IF(AND(AG$9&gt;=$E17,AG$9&lt;=$F17),"■","")</f>
      </c>
      <c r="AH17" s="0">
        <f>IF(AND(AH$9&gt;=$E17,AH$9&lt;=$F17),"■","")</f>
      </c>
      <c r="AI17" s="0">
        <f>IF(AND(AI$9&gt;=$E17,AI$9&lt;=$F17),"■","")</f>
      </c>
      <c r="AJ17" s="0">
        <f>IF(AND(AJ$9&gt;=$E17,AJ$9&lt;=$F17),"■","")</f>
      </c>
      <c r="AK17" s="0">
        <f>IF(AND(AK$9&gt;=$E17,AK$9&lt;=$F17),"■","")</f>
      </c>
      <c r="AL17" s="0">
        <f>IF(AND(AL$9&gt;=$E17,AL$9&lt;=$F17),"■","")</f>
      </c>
      <c r="AM17" s="0">
        <f>IF(AND(AM$9&gt;=$E17,AM$9&lt;=$F17),"■","")</f>
      </c>
      <c r="AN17" s="0">
        <f>IF(AND(AN$9&gt;=$E17,AN$9&lt;=$F17),"■","")</f>
      </c>
      <c r="AO17" s="0">
        <f>IF(AND(AO$9&gt;=$E17,AO$9&lt;=$F17),"■","")</f>
      </c>
      <c r="AP17" s="0">
        <f>IF(AND(AP$9&gt;=$E17,AP$9&lt;=$F17),"■","")</f>
      </c>
      <c r="AQ17" s="0">
        <f>IF(AND(AQ$9&gt;=$E17,AQ$9&lt;=$F17),"■","")</f>
      </c>
      <c r="AR17" s="0">
        <f>IF(AND(AR$9&gt;=$E17,AR$9&lt;=$F17),"■","")</f>
      </c>
      <c r="AS17" s="0">
        <f>IF(AND(AS$9&gt;=$E17,AS$9&lt;=$F17),"■","")</f>
      </c>
      <c r="AT17" s="0">
        <f>IF(AND(AT$9&gt;=$E17,AT$9&lt;=$F17),"■","")</f>
      </c>
      <c r="AU17" s="0">
        <f>IF(AND(AU$9&gt;=$E17,AU$9&lt;=$F17),"■","")</f>
      </c>
      <c r="AV17" s="0">
        <f>IF(AND(AV$9&gt;=$E17,AV$9&lt;=$F17),"■","")</f>
      </c>
      <c r="AW17" s="0">
        <f>IF(AND(AW$9&gt;=$E17,AW$9&lt;=$F17),"■","")</f>
      </c>
      <c r="AX17" s="0">
        <f>IF(AND(AX$9&gt;=$E17,AX$9&lt;=$F17),"■","")</f>
      </c>
      <c r="AY17" s="0">
        <f>IF(AND(AY$9&gt;=$E17,AY$9&lt;=$F17),"■","")</f>
      </c>
      <c r="AZ17" s="0">
        <f>IF(AND(AZ$9&gt;=$E17,AZ$9&lt;=$F17),"■","")</f>
      </c>
      <c r="BA17" s="0">
        <f>IF(AND(BA$9&gt;=$E17,BA$9&lt;=$F17),"■","")</f>
      </c>
      <c r="BB17" s="0">
        <f>IF(AND(BB$9&gt;=$E17,BB$9&lt;=$F17),"■","")</f>
      </c>
      <c r="BC17" s="0">
        <f>IF(AND(BC$9&gt;=$E17,BC$9&lt;=$F17),"■","")</f>
      </c>
      <c r="BD17" s="0">
        <f>IF(AND(BD$9&gt;=$E17,BD$9&lt;=$F17),"■","")</f>
      </c>
      <c r="BE17" s="0">
        <f>IF(AND(BE$9&gt;=$E17,BE$9&lt;=$F17),"■","")</f>
      </c>
      <c r="BF17" s="0">
        <f>IF(AND(BF$9&gt;=$E17,BF$9&lt;=$F17),"■","")</f>
      </c>
      <c r="BG17" s="0">
        <f>IF(AND(BG$9&gt;=$E17,BG$9&lt;=$F17),"■","")</f>
      </c>
      <c r="BH17" s="0">
        <f>IF(AND(BH$9&gt;=$E17,BH$9&lt;=$F17),"■","")</f>
      </c>
      <c r="BI17" s="0">
        <f>IF(AND(BI$9&gt;=$E17,BI$9&lt;=$F17),"■","")</f>
      </c>
      <c r="BJ17" s="0">
        <f>IF(AND(BJ$9&gt;=$E17,BJ$9&lt;=$F17),"■","")</f>
      </c>
      <c r="BK17" s="0">
        <f>IF(AND(BK$9&gt;=$E17,BK$9&lt;=$F17),"■","")</f>
      </c>
      <c r="BL17" s="0">
        <f>IF(AND(BL$9&gt;=$E17,BL$9&lt;=$F17),"■","")</f>
      </c>
      <c r="BM17" s="0">
        <f>IF(AND(BM$9&gt;=$E17,BM$9&lt;=$F17),"■","")</f>
      </c>
      <c r="BN17" s="0">
        <f>IF(AND(BN$9&gt;=$E17,BN$9&lt;=$F17),"■","")</f>
      </c>
      <c r="BO17" s="0">
        <f>IF(AND(BO$9&gt;=$E17,BO$9&lt;=$F17),"■","")</f>
      </c>
      <c r="BP17" s="0">
        <f>IF(AND(BP$9&gt;=$E17,BP$9&lt;=$F17),"■","")</f>
      </c>
      <c r="BQ17" s="0">
        <f>IF(AND(BQ$9&gt;=$E17,BQ$9&lt;=$F17),"■","")</f>
      </c>
      <c r="BR17" s="0">
        <f>IF(AND(BR$9&gt;=$E17,BR$9&lt;=$F17),"■","")</f>
      </c>
      <c r="BS17" s="0">
        <f>IF(AND(BS$9&gt;=$E17,BS$9&lt;=$F17),"■","")</f>
      </c>
      <c r="BT17" s="0">
        <f>IF(AND(BT$9&gt;=$E17,BT$9&lt;=$F17),"■","")</f>
      </c>
      <c r="BU17" s="0">
        <f>IF(AND(BU$9&gt;=$E17,BU$9&lt;=$F17),"■","")</f>
      </c>
      <c r="BV17" s="0">
        <f>IF(AND(BV$9&gt;=$E17,BV$9&lt;=$F17),"■","")</f>
      </c>
      <c r="BW17" s="0">
        <f>IF(AND(BW$9&gt;=$E17,BW$9&lt;=$F17),"■","")</f>
      </c>
    </row>
    <row r="18">
      <c r="A18" s="0" t="inlineStr">
        <is>
          <t>P002-008</t>
        </is>
      </c>
      <c r="B18" s="0">
        <v>4</v>
      </c>
      <c r="C18" s="0" t="inlineStr">
        <is>
          <t>P002-007</t>
        </is>
      </c>
      <c r="D18" s="0" t="inlineStr">
        <is>
          <t>Paramétrage écran A</t>
        </is>
      </c>
      <c r="E18" s="3">
        <v>46224</v>
      </c>
      <c r="F18" s="3">
        <v>46247</v>
      </c>
      <c r="G18" s="0">
        <v>12</v>
      </c>
      <c r="H18" s="0">
        <v>1500</v>
      </c>
      <c r="I18" s="0" t="inlineStr">
        <is>
          <t>Nina Rossi</t>
        </is>
      </c>
      <c r="J18" s="0">
        <f>SUMIFS('Suivi Temps'!$D:$D,'Suivi Temps'!$A:$A,"P002-008")</f>
      </c>
      <c r="K18" s="0" t="inlineStr">
        <is>
          <t/>
        </is>
      </c>
      <c r="L18" s="0">
        <v>0.1</v>
      </c>
      <c r="M18" s="0" t="inlineStr">
        <is>
          <t/>
        </is>
      </c>
      <c r="N18" s="0" t="inlineStr">
        <is>
          <t/>
        </is>
      </c>
      <c r="O18" s="0" t="inlineStr">
        <is>
          <t/>
        </is>
      </c>
      <c r="P18" s="0">
        <f>IF(AND(P$9&gt;=$E18,P$9&lt;=$F18),"■","")</f>
      </c>
      <c r="Q18" s="0">
        <f>IF(AND(Q$9&gt;=$E18,Q$9&lt;=$F18),"■","")</f>
      </c>
      <c r="R18" s="0">
        <f>IF(AND(R$9&gt;=$E18,R$9&lt;=$F18),"■","")</f>
      </c>
      <c r="S18" s="0">
        <f>IF(AND(S$9&gt;=$E18,S$9&lt;=$F18),"■","")</f>
      </c>
      <c r="T18" s="0">
        <f>IF(AND(T$9&gt;=$E18,T$9&lt;=$F18),"■","")</f>
      </c>
      <c r="U18" s="0">
        <f>IF(AND(U$9&gt;=$E18,U$9&lt;=$F18),"■","")</f>
      </c>
      <c r="V18" s="0">
        <f>IF(AND(V$9&gt;=$E18,V$9&lt;=$F18),"■","")</f>
      </c>
      <c r="W18" s="0">
        <f>IF(AND(W$9&gt;=$E18,W$9&lt;=$F18),"■","")</f>
      </c>
      <c r="X18" s="0">
        <f>IF(AND(X$9&gt;=$E18,X$9&lt;=$F18),"■","")</f>
      </c>
      <c r="Y18" s="0">
        <f>IF(AND(Y$9&gt;=$E18,Y$9&lt;=$F18),"■","")</f>
      </c>
      <c r="Z18" s="0">
        <f>IF(AND(Z$9&gt;=$E18,Z$9&lt;=$F18),"■","")</f>
      </c>
      <c r="AA18" s="0">
        <f>IF(AND(AA$9&gt;=$E18,AA$9&lt;=$F18),"■","")</f>
      </c>
      <c r="AB18" s="0">
        <f>IF(AND(AB$9&gt;=$E18,AB$9&lt;=$F18),"■","")</f>
      </c>
      <c r="AC18" s="0">
        <f>IF(AND(AC$9&gt;=$E18,AC$9&lt;=$F18),"■","")</f>
      </c>
      <c r="AD18" s="0">
        <f>IF(AND(AD$9&gt;=$E18,AD$9&lt;=$F18),"■","")</f>
      </c>
      <c r="AE18" s="0">
        <f>IF(AND(AE$9&gt;=$E18,AE$9&lt;=$F18),"■","")</f>
      </c>
      <c r="AF18" s="0">
        <f>IF(AND(AF$9&gt;=$E18,AF$9&lt;=$F18),"■","")</f>
      </c>
      <c r="AG18" s="0">
        <f>IF(AND(AG$9&gt;=$E18,AG$9&lt;=$F18),"■","")</f>
      </c>
      <c r="AH18" s="0">
        <f>IF(AND(AH$9&gt;=$E18,AH$9&lt;=$F18),"■","")</f>
      </c>
      <c r="AI18" s="0">
        <f>IF(AND(AI$9&gt;=$E18,AI$9&lt;=$F18),"■","")</f>
      </c>
      <c r="AJ18" s="0">
        <f>IF(AND(AJ$9&gt;=$E18,AJ$9&lt;=$F18),"■","")</f>
      </c>
      <c r="AK18" s="0">
        <f>IF(AND(AK$9&gt;=$E18,AK$9&lt;=$F18),"■","")</f>
      </c>
      <c r="AL18" s="0">
        <f>IF(AND(AL$9&gt;=$E18,AL$9&lt;=$F18),"■","")</f>
      </c>
      <c r="AM18" s="0">
        <f>IF(AND(AM$9&gt;=$E18,AM$9&lt;=$F18),"■","")</f>
      </c>
      <c r="AN18" s="0">
        <f>IF(AND(AN$9&gt;=$E18,AN$9&lt;=$F18),"■","")</f>
      </c>
      <c r="AO18" s="0">
        <f>IF(AND(AO$9&gt;=$E18,AO$9&lt;=$F18),"■","")</f>
      </c>
      <c r="AP18" s="0">
        <f>IF(AND(AP$9&gt;=$E18,AP$9&lt;=$F18),"■","")</f>
      </c>
      <c r="AQ18" s="0">
        <f>IF(AND(AQ$9&gt;=$E18,AQ$9&lt;=$F18),"■","")</f>
      </c>
      <c r="AR18" s="0">
        <f>IF(AND(AR$9&gt;=$E18,AR$9&lt;=$F18),"■","")</f>
      </c>
      <c r="AS18" s="0">
        <f>IF(AND(AS$9&gt;=$E18,AS$9&lt;=$F18),"■","")</f>
      </c>
      <c r="AT18" s="0">
        <f>IF(AND(AT$9&gt;=$E18,AT$9&lt;=$F18),"■","")</f>
      </c>
      <c r="AU18" s="0">
        <f>IF(AND(AU$9&gt;=$E18,AU$9&lt;=$F18),"■","")</f>
      </c>
      <c r="AV18" s="0">
        <f>IF(AND(AV$9&gt;=$E18,AV$9&lt;=$F18),"■","")</f>
      </c>
      <c r="AW18" s="0">
        <f>IF(AND(AW$9&gt;=$E18,AW$9&lt;=$F18),"■","")</f>
      </c>
      <c r="AX18" s="0">
        <f>IF(AND(AX$9&gt;=$E18,AX$9&lt;=$F18),"■","")</f>
      </c>
      <c r="AY18" s="0">
        <f>IF(AND(AY$9&gt;=$E18,AY$9&lt;=$F18),"■","")</f>
      </c>
      <c r="AZ18" s="0">
        <f>IF(AND(AZ$9&gt;=$E18,AZ$9&lt;=$F18),"■","")</f>
      </c>
      <c r="BA18" s="0">
        <f>IF(AND(BA$9&gt;=$E18,BA$9&lt;=$F18),"■","")</f>
      </c>
      <c r="BB18" s="0">
        <f>IF(AND(BB$9&gt;=$E18,BB$9&lt;=$F18),"■","")</f>
      </c>
      <c r="BC18" s="0">
        <f>IF(AND(BC$9&gt;=$E18,BC$9&lt;=$F18),"■","")</f>
      </c>
      <c r="BD18" s="0">
        <f>IF(AND(BD$9&gt;=$E18,BD$9&lt;=$F18),"■","")</f>
      </c>
      <c r="BE18" s="0">
        <f>IF(AND(BE$9&gt;=$E18,BE$9&lt;=$F18),"■","")</f>
      </c>
      <c r="BF18" s="0">
        <f>IF(AND(BF$9&gt;=$E18,BF$9&lt;=$F18),"■","")</f>
      </c>
      <c r="BG18" s="0">
        <f>IF(AND(BG$9&gt;=$E18,BG$9&lt;=$F18),"■","")</f>
      </c>
      <c r="BH18" s="0">
        <f>IF(AND(BH$9&gt;=$E18,BH$9&lt;=$F18),"■","")</f>
      </c>
      <c r="BI18" s="0">
        <f>IF(AND(BI$9&gt;=$E18,BI$9&lt;=$F18),"■","")</f>
      </c>
      <c r="BJ18" s="0">
        <f>IF(AND(BJ$9&gt;=$E18,BJ$9&lt;=$F18),"■","")</f>
      </c>
      <c r="BK18" s="0">
        <f>IF(AND(BK$9&gt;=$E18,BK$9&lt;=$F18),"■","")</f>
      </c>
      <c r="BL18" s="0">
        <f>IF(AND(BL$9&gt;=$E18,BL$9&lt;=$F18),"■","")</f>
      </c>
      <c r="BM18" s="0">
        <f>IF(AND(BM$9&gt;=$E18,BM$9&lt;=$F18),"■","")</f>
      </c>
      <c r="BN18" s="0">
        <f>IF(AND(BN$9&gt;=$E18,BN$9&lt;=$F18),"■","")</f>
      </c>
      <c r="BO18" s="0">
        <f>IF(AND(BO$9&gt;=$E18,BO$9&lt;=$F18),"■","")</f>
      </c>
      <c r="BP18" s="0">
        <f>IF(AND(BP$9&gt;=$E18,BP$9&lt;=$F18),"■","")</f>
      </c>
      <c r="BQ18" s="0">
        <f>IF(AND(BQ$9&gt;=$E18,BQ$9&lt;=$F18),"■","")</f>
      </c>
      <c r="BR18" s="0">
        <f>IF(AND(BR$9&gt;=$E18,BR$9&lt;=$F18),"■","")</f>
      </c>
      <c r="BS18" s="0">
        <f>IF(AND(BS$9&gt;=$E18,BS$9&lt;=$F18),"■","")</f>
      </c>
      <c r="BT18" s="0">
        <f>IF(AND(BT$9&gt;=$E18,BT$9&lt;=$F18),"■","")</f>
      </c>
      <c r="BU18" s="0">
        <f>IF(AND(BU$9&gt;=$E18,BU$9&lt;=$F18),"■","")</f>
      </c>
      <c r="BV18" s="0">
        <f>IF(AND(BV$9&gt;=$E18,BV$9&lt;=$F18),"■","")</f>
      </c>
      <c r="BW18" s="0">
        <f>IF(AND(BW$9&gt;=$E18,BW$9&lt;=$F18),"■","")</f>
      </c>
    </row>
    <row r="19">
      <c r="A19" s="0" t="inlineStr">
        <is>
          <t>P002-009</t>
        </is>
      </c>
      <c r="B19" s="0">
        <v>1</v>
      </c>
      <c r="C19" s="0" t="inlineStr">
        <is>
          <t/>
        </is>
      </c>
      <c r="D19" s="0" t="inlineStr">
        <is>
          <t>Déploiement</t>
        </is>
      </c>
      <c r="E19" s="3">
        <v>46240</v>
      </c>
      <c r="F19" s="3">
        <v>46288</v>
      </c>
      <c r="G19" s="0">
        <v>30</v>
      </c>
      <c r="H19" s="0">
        <v>4500</v>
      </c>
      <c r="I19" s="0" t="inlineStr">
        <is>
          <t>Nina Rossi</t>
        </is>
      </c>
      <c r="J19" s="0">
        <f>SUMIFS('Suivi Temps'!$D:$D,'Suivi Temps'!$A:$A,"P002-009")</f>
      </c>
      <c r="K19" s="0" t="inlineStr">
        <is>
          <t/>
        </is>
      </c>
      <c r="L19" s="0">
        <v>0</v>
      </c>
      <c r="M19" s="0" t="inlineStr">
        <is>
          <t/>
        </is>
      </c>
      <c r="N19" s="0" t="inlineStr">
        <is>
          <t/>
        </is>
      </c>
      <c r="O19" s="0" t="inlineStr">
        <is>
          <t/>
        </is>
      </c>
      <c r="P19" s="0">
        <f>IF(AND(P$9&gt;=$E19,P$9&lt;=$F19),"■","")</f>
      </c>
      <c r="Q19" s="0">
        <f>IF(AND(Q$9&gt;=$E19,Q$9&lt;=$F19),"■","")</f>
      </c>
      <c r="R19" s="0">
        <f>IF(AND(R$9&gt;=$E19,R$9&lt;=$F19),"■","")</f>
      </c>
      <c r="S19" s="0">
        <f>IF(AND(S$9&gt;=$E19,S$9&lt;=$F19),"■","")</f>
      </c>
      <c r="T19" s="0">
        <f>IF(AND(T$9&gt;=$E19,T$9&lt;=$F19),"■","")</f>
      </c>
      <c r="U19" s="0">
        <f>IF(AND(U$9&gt;=$E19,U$9&lt;=$F19),"■","")</f>
      </c>
      <c r="V19" s="0">
        <f>IF(AND(V$9&gt;=$E19,V$9&lt;=$F19),"■","")</f>
      </c>
      <c r="W19" s="0">
        <f>IF(AND(W$9&gt;=$E19,W$9&lt;=$F19),"■","")</f>
      </c>
      <c r="X19" s="0">
        <f>IF(AND(X$9&gt;=$E19,X$9&lt;=$F19),"■","")</f>
      </c>
      <c r="Y19" s="0">
        <f>IF(AND(Y$9&gt;=$E19,Y$9&lt;=$F19),"■","")</f>
      </c>
      <c r="Z19" s="0">
        <f>IF(AND(Z$9&gt;=$E19,Z$9&lt;=$F19),"■","")</f>
      </c>
      <c r="AA19" s="0">
        <f>IF(AND(AA$9&gt;=$E19,AA$9&lt;=$F19),"■","")</f>
      </c>
      <c r="AB19" s="0">
        <f>IF(AND(AB$9&gt;=$E19,AB$9&lt;=$F19),"■","")</f>
      </c>
      <c r="AC19" s="0">
        <f>IF(AND(AC$9&gt;=$E19,AC$9&lt;=$F19),"■","")</f>
      </c>
      <c r="AD19" s="0">
        <f>IF(AND(AD$9&gt;=$E19,AD$9&lt;=$F19),"■","")</f>
      </c>
      <c r="AE19" s="0">
        <f>IF(AND(AE$9&gt;=$E19,AE$9&lt;=$F19),"■","")</f>
      </c>
      <c r="AF19" s="0">
        <f>IF(AND(AF$9&gt;=$E19,AF$9&lt;=$F19),"■","")</f>
      </c>
      <c r="AG19" s="0">
        <f>IF(AND(AG$9&gt;=$E19,AG$9&lt;=$F19),"■","")</f>
      </c>
      <c r="AH19" s="0">
        <f>IF(AND(AH$9&gt;=$E19,AH$9&lt;=$F19),"■","")</f>
      </c>
      <c r="AI19" s="0">
        <f>IF(AND(AI$9&gt;=$E19,AI$9&lt;=$F19),"■","")</f>
      </c>
      <c r="AJ19" s="0">
        <f>IF(AND(AJ$9&gt;=$E19,AJ$9&lt;=$F19),"■","")</f>
      </c>
      <c r="AK19" s="0">
        <f>IF(AND(AK$9&gt;=$E19,AK$9&lt;=$F19),"■","")</f>
      </c>
      <c r="AL19" s="0">
        <f>IF(AND(AL$9&gt;=$E19,AL$9&lt;=$F19),"■","")</f>
      </c>
      <c r="AM19" s="0">
        <f>IF(AND(AM$9&gt;=$E19,AM$9&lt;=$F19),"■","")</f>
      </c>
      <c r="AN19" s="0">
        <f>IF(AND(AN$9&gt;=$E19,AN$9&lt;=$F19),"■","")</f>
      </c>
      <c r="AO19" s="0">
        <f>IF(AND(AO$9&gt;=$E19,AO$9&lt;=$F19),"■","")</f>
      </c>
      <c r="AP19" s="0">
        <f>IF(AND(AP$9&gt;=$E19,AP$9&lt;=$F19),"■","")</f>
      </c>
      <c r="AQ19" s="0">
        <f>IF(AND(AQ$9&gt;=$E19,AQ$9&lt;=$F19),"■","")</f>
      </c>
      <c r="AR19" s="0">
        <f>IF(AND(AR$9&gt;=$E19,AR$9&lt;=$F19),"■","")</f>
      </c>
      <c r="AS19" s="0">
        <f>IF(AND(AS$9&gt;=$E19,AS$9&lt;=$F19),"■","")</f>
      </c>
      <c r="AT19" s="0">
        <f>IF(AND(AT$9&gt;=$E19,AT$9&lt;=$F19),"■","")</f>
      </c>
      <c r="AU19" s="0">
        <f>IF(AND(AU$9&gt;=$E19,AU$9&lt;=$F19),"■","")</f>
      </c>
      <c r="AV19" s="0">
        <f>IF(AND(AV$9&gt;=$E19,AV$9&lt;=$F19),"■","")</f>
      </c>
      <c r="AW19" s="0">
        <f>IF(AND(AW$9&gt;=$E19,AW$9&lt;=$F19),"■","")</f>
      </c>
      <c r="AX19" s="0">
        <f>IF(AND(AX$9&gt;=$E19,AX$9&lt;=$F19),"■","")</f>
      </c>
      <c r="AY19" s="0">
        <f>IF(AND(AY$9&gt;=$E19,AY$9&lt;=$F19),"■","")</f>
      </c>
      <c r="AZ19" s="0">
        <f>IF(AND(AZ$9&gt;=$E19,AZ$9&lt;=$F19),"■","")</f>
      </c>
      <c r="BA19" s="0">
        <f>IF(AND(BA$9&gt;=$E19,BA$9&lt;=$F19),"■","")</f>
      </c>
      <c r="BB19" s="0">
        <f>IF(AND(BB$9&gt;=$E19,BB$9&lt;=$F19),"■","")</f>
      </c>
      <c r="BC19" s="0">
        <f>IF(AND(BC$9&gt;=$E19,BC$9&lt;=$F19),"■","")</f>
      </c>
      <c r="BD19" s="0">
        <f>IF(AND(BD$9&gt;=$E19,BD$9&lt;=$F19),"■","")</f>
      </c>
      <c r="BE19" s="0">
        <f>IF(AND(BE$9&gt;=$E19,BE$9&lt;=$F19),"■","")</f>
      </c>
      <c r="BF19" s="0">
        <f>IF(AND(BF$9&gt;=$E19,BF$9&lt;=$F19),"■","")</f>
      </c>
      <c r="BG19" s="0">
        <f>IF(AND(BG$9&gt;=$E19,BG$9&lt;=$F19),"■","")</f>
      </c>
      <c r="BH19" s="0">
        <f>IF(AND(BH$9&gt;=$E19,BH$9&lt;=$F19),"■","")</f>
      </c>
      <c r="BI19" s="0">
        <f>IF(AND(BI$9&gt;=$E19,BI$9&lt;=$F19),"■","")</f>
      </c>
      <c r="BJ19" s="0">
        <f>IF(AND(BJ$9&gt;=$E19,BJ$9&lt;=$F19),"■","")</f>
      </c>
      <c r="BK19" s="0">
        <f>IF(AND(BK$9&gt;=$E19,BK$9&lt;=$F19),"■","")</f>
      </c>
      <c r="BL19" s="0">
        <f>IF(AND(BL$9&gt;=$E19,BL$9&lt;=$F19),"■","")</f>
      </c>
      <c r="BM19" s="0">
        <f>IF(AND(BM$9&gt;=$E19,BM$9&lt;=$F19),"■","")</f>
      </c>
      <c r="BN19" s="0">
        <f>IF(AND(BN$9&gt;=$E19,BN$9&lt;=$F19),"■","")</f>
      </c>
      <c r="BO19" s="0">
        <f>IF(AND(BO$9&gt;=$E19,BO$9&lt;=$F19),"■","")</f>
      </c>
      <c r="BP19" s="0">
        <f>IF(AND(BP$9&gt;=$E19,BP$9&lt;=$F19),"■","")</f>
      </c>
      <c r="BQ19" s="0">
        <f>IF(AND(BQ$9&gt;=$E19,BQ$9&lt;=$F19),"■","")</f>
      </c>
      <c r="BR19" s="0">
        <f>IF(AND(BR$9&gt;=$E19,BR$9&lt;=$F19),"■","")</f>
      </c>
      <c r="BS19" s="0">
        <f>IF(AND(BS$9&gt;=$E19,BS$9&lt;=$F19),"■","")</f>
      </c>
      <c r="BT19" s="0">
        <f>IF(AND(BT$9&gt;=$E19,BT$9&lt;=$F19),"■","")</f>
      </c>
      <c r="BU19" s="0">
        <f>IF(AND(BU$9&gt;=$E19,BU$9&lt;=$F19),"■","")</f>
      </c>
      <c r="BV19" s="0">
        <f>IF(AND(BV$9&gt;=$E19,BV$9&lt;=$F19),"■","")</f>
      </c>
      <c r="BW19" s="0">
        <f>IF(AND(BW$9&gt;=$E19,BW$9&lt;=$F19),"■","")</f>
      </c>
    </row>
    <row r="20">
      <c r="A20" s="0" t="inlineStr">
        <is>
          <t>P002-010</t>
        </is>
      </c>
      <c r="B20" s="0" t="inlineStr">
        <is>
          <t/>
        </is>
      </c>
      <c r="C20" s="0" t="inlineStr">
        <is>
          <t/>
        </is>
      </c>
      <c r="D20" s="0" t="inlineStr">
        <is>
          <t/>
        </is>
      </c>
      <c r="E20" s="0" t="inlineStr">
        <is>
          <t/>
        </is>
      </c>
      <c r="F20" s="0" t="inlineStr">
        <is>
          <t/>
        </is>
      </c>
      <c r="G20" s="0" t="inlineStr">
        <is>
          <t/>
        </is>
      </c>
      <c r="H20" s="0" t="inlineStr">
        <is>
          <t/>
        </is>
      </c>
      <c r="I20" s="0" t="inlineStr">
        <is>
          <t/>
        </is>
      </c>
      <c r="J20" s="0">
        <f>SUMIFS('Suivi Temps'!$D:$D,'Suivi Temps'!$A:$A,"P002-010")</f>
      </c>
      <c r="K20" s="0" t="inlineStr">
        <is>
          <t/>
        </is>
      </c>
      <c r="L20" s="0" t="inlineStr">
        <is>
          <t/>
        </is>
      </c>
      <c r="M20" s="0" t="inlineStr">
        <is>
          <t/>
        </is>
      </c>
      <c r="N20" s="0" t="inlineStr">
        <is>
          <t/>
        </is>
      </c>
      <c r="O20" s="0" t="inlineStr">
        <is>
          <t/>
        </is>
      </c>
      <c r="P20" s="0">
        <f>IF(AND(P$9&gt;=$E20,P$9&lt;=$F20),"■","")</f>
      </c>
      <c r="Q20" s="0">
        <f>IF(AND(Q$9&gt;=$E20,Q$9&lt;=$F20),"■","")</f>
      </c>
      <c r="R20" s="0">
        <f>IF(AND(R$9&gt;=$E20,R$9&lt;=$F20),"■","")</f>
      </c>
      <c r="S20" s="0">
        <f>IF(AND(S$9&gt;=$E20,S$9&lt;=$F20),"■","")</f>
      </c>
      <c r="T20" s="0">
        <f>IF(AND(T$9&gt;=$E20,T$9&lt;=$F20),"■","")</f>
      </c>
      <c r="U20" s="0">
        <f>IF(AND(U$9&gt;=$E20,U$9&lt;=$F20),"■","")</f>
      </c>
      <c r="V20" s="0">
        <f>IF(AND(V$9&gt;=$E20,V$9&lt;=$F20),"■","")</f>
      </c>
      <c r="W20" s="0">
        <f>IF(AND(W$9&gt;=$E20,W$9&lt;=$F20),"■","")</f>
      </c>
      <c r="X20" s="0">
        <f>IF(AND(X$9&gt;=$E20,X$9&lt;=$F20),"■","")</f>
      </c>
      <c r="Y20" s="0">
        <f>IF(AND(Y$9&gt;=$E20,Y$9&lt;=$F20),"■","")</f>
      </c>
      <c r="Z20" s="0">
        <f>IF(AND(Z$9&gt;=$E20,Z$9&lt;=$F20),"■","")</f>
      </c>
      <c r="AA20" s="0">
        <f>IF(AND(AA$9&gt;=$E20,AA$9&lt;=$F20),"■","")</f>
      </c>
      <c r="AB20" s="0">
        <f>IF(AND(AB$9&gt;=$E20,AB$9&lt;=$F20),"■","")</f>
      </c>
      <c r="AC20" s="0">
        <f>IF(AND(AC$9&gt;=$E20,AC$9&lt;=$F20),"■","")</f>
      </c>
      <c r="AD20" s="0">
        <f>IF(AND(AD$9&gt;=$E20,AD$9&lt;=$F20),"■","")</f>
      </c>
      <c r="AE20" s="0">
        <f>IF(AND(AE$9&gt;=$E20,AE$9&lt;=$F20),"■","")</f>
      </c>
      <c r="AF20" s="0">
        <f>IF(AND(AF$9&gt;=$E20,AF$9&lt;=$F20),"■","")</f>
      </c>
      <c r="AG20" s="0">
        <f>IF(AND(AG$9&gt;=$E20,AG$9&lt;=$F20),"■","")</f>
      </c>
      <c r="AH20" s="0">
        <f>IF(AND(AH$9&gt;=$E20,AH$9&lt;=$F20),"■","")</f>
      </c>
      <c r="AI20" s="0">
        <f>IF(AND(AI$9&gt;=$E20,AI$9&lt;=$F20),"■","")</f>
      </c>
      <c r="AJ20" s="0">
        <f>IF(AND(AJ$9&gt;=$E20,AJ$9&lt;=$F20),"■","")</f>
      </c>
      <c r="AK20" s="0">
        <f>IF(AND(AK$9&gt;=$E20,AK$9&lt;=$F20),"■","")</f>
      </c>
      <c r="AL20" s="0">
        <f>IF(AND(AL$9&gt;=$E20,AL$9&lt;=$F20),"■","")</f>
      </c>
      <c r="AM20" s="0">
        <f>IF(AND(AM$9&gt;=$E20,AM$9&lt;=$F20),"■","")</f>
      </c>
      <c r="AN20" s="0">
        <f>IF(AND(AN$9&gt;=$E20,AN$9&lt;=$F20),"■","")</f>
      </c>
      <c r="AO20" s="0">
        <f>IF(AND(AO$9&gt;=$E20,AO$9&lt;=$F20),"■","")</f>
      </c>
      <c r="AP20" s="0">
        <f>IF(AND(AP$9&gt;=$E20,AP$9&lt;=$F20),"■","")</f>
      </c>
      <c r="AQ20" s="0">
        <f>IF(AND(AQ$9&gt;=$E20,AQ$9&lt;=$F20),"■","")</f>
      </c>
      <c r="AR20" s="0">
        <f>IF(AND(AR$9&gt;=$E20,AR$9&lt;=$F20),"■","")</f>
      </c>
      <c r="AS20" s="0">
        <f>IF(AND(AS$9&gt;=$E20,AS$9&lt;=$F20),"■","")</f>
      </c>
      <c r="AT20" s="0">
        <f>IF(AND(AT$9&gt;=$E20,AT$9&lt;=$F20),"■","")</f>
      </c>
      <c r="AU20" s="0">
        <f>IF(AND(AU$9&gt;=$E20,AU$9&lt;=$F20),"■","")</f>
      </c>
      <c r="AV20" s="0">
        <f>IF(AND(AV$9&gt;=$E20,AV$9&lt;=$F20),"■","")</f>
      </c>
      <c r="AW20" s="0">
        <f>IF(AND(AW$9&gt;=$E20,AW$9&lt;=$F20),"■","")</f>
      </c>
      <c r="AX20" s="0">
        <f>IF(AND(AX$9&gt;=$E20,AX$9&lt;=$F20),"■","")</f>
      </c>
      <c r="AY20" s="0">
        <f>IF(AND(AY$9&gt;=$E20,AY$9&lt;=$F20),"■","")</f>
      </c>
      <c r="AZ20" s="0">
        <f>IF(AND(AZ$9&gt;=$E20,AZ$9&lt;=$F20),"■","")</f>
      </c>
      <c r="BA20" s="0">
        <f>IF(AND(BA$9&gt;=$E20,BA$9&lt;=$F20),"■","")</f>
      </c>
      <c r="BB20" s="0">
        <f>IF(AND(BB$9&gt;=$E20,BB$9&lt;=$F20),"■","")</f>
      </c>
      <c r="BC20" s="0">
        <f>IF(AND(BC$9&gt;=$E20,BC$9&lt;=$F20),"■","")</f>
      </c>
      <c r="BD20" s="0">
        <f>IF(AND(BD$9&gt;=$E20,BD$9&lt;=$F20),"■","")</f>
      </c>
      <c r="BE20" s="0">
        <f>IF(AND(BE$9&gt;=$E20,BE$9&lt;=$F20),"■","")</f>
      </c>
      <c r="BF20" s="0">
        <f>IF(AND(BF$9&gt;=$E20,BF$9&lt;=$F20),"■","")</f>
      </c>
      <c r="BG20" s="0">
        <f>IF(AND(BG$9&gt;=$E20,BG$9&lt;=$F20),"■","")</f>
      </c>
      <c r="BH20" s="0">
        <f>IF(AND(BH$9&gt;=$E20,BH$9&lt;=$F20),"■","")</f>
      </c>
      <c r="BI20" s="0">
        <f>IF(AND(BI$9&gt;=$E20,BI$9&lt;=$F20),"■","")</f>
      </c>
      <c r="BJ20" s="0">
        <f>IF(AND(BJ$9&gt;=$E20,BJ$9&lt;=$F20),"■","")</f>
      </c>
      <c r="BK20" s="0">
        <f>IF(AND(BK$9&gt;=$E20,BK$9&lt;=$F20),"■","")</f>
      </c>
      <c r="BL20" s="0">
        <f>IF(AND(BL$9&gt;=$E20,BL$9&lt;=$F20),"■","")</f>
      </c>
      <c r="BM20" s="0">
        <f>IF(AND(BM$9&gt;=$E20,BM$9&lt;=$F20),"■","")</f>
      </c>
      <c r="BN20" s="0">
        <f>IF(AND(BN$9&gt;=$E20,BN$9&lt;=$F20),"■","")</f>
      </c>
      <c r="BO20" s="0">
        <f>IF(AND(BO$9&gt;=$E20,BO$9&lt;=$F20),"■","")</f>
      </c>
      <c r="BP20" s="0">
        <f>IF(AND(BP$9&gt;=$E20,BP$9&lt;=$F20),"■","")</f>
      </c>
      <c r="BQ20" s="0">
        <f>IF(AND(BQ$9&gt;=$E20,BQ$9&lt;=$F20),"■","")</f>
      </c>
      <c r="BR20" s="0">
        <f>IF(AND(BR$9&gt;=$E20,BR$9&lt;=$F20),"■","")</f>
      </c>
      <c r="BS20" s="0">
        <f>IF(AND(BS$9&gt;=$E20,BS$9&lt;=$F20),"■","")</f>
      </c>
      <c r="BT20" s="0">
        <f>IF(AND(BT$9&gt;=$E20,BT$9&lt;=$F20),"■","")</f>
      </c>
      <c r="BU20" s="0">
        <f>IF(AND(BU$9&gt;=$E20,BU$9&lt;=$F20),"■","")</f>
      </c>
      <c r="BV20" s="0">
        <f>IF(AND(BV$9&gt;=$E20,BV$9&lt;=$F20),"■","")</f>
      </c>
      <c r="BW20" s="0">
        <f>IF(AND(BW$9&gt;=$E20,BW$9&lt;=$F20),"■","")</f>
      </c>
    </row>
    <row r="21">
      <c r="A21" s="0" t="inlineStr">
        <is>
          <t>P002-011</t>
        </is>
      </c>
      <c r="B21" s="0" t="inlineStr">
        <is>
          <t/>
        </is>
      </c>
      <c r="C21" s="0" t="inlineStr">
        <is>
          <t/>
        </is>
      </c>
      <c r="D21" s="0" t="inlineStr">
        <is>
          <t/>
        </is>
      </c>
      <c r="E21" s="0" t="inlineStr">
        <is>
          <t/>
        </is>
      </c>
      <c r="F21" s="0" t="inlineStr">
        <is>
          <t/>
        </is>
      </c>
      <c r="G21" s="0" t="inlineStr">
        <is>
          <t/>
        </is>
      </c>
      <c r="H21" s="0" t="inlineStr">
        <is>
          <t/>
        </is>
      </c>
      <c r="I21" s="0" t="inlineStr">
        <is>
          <t/>
        </is>
      </c>
      <c r="J21" s="0">
        <f>SUMIFS('Suivi Temps'!$D:$D,'Suivi Temps'!$A:$A,"P002-011")</f>
      </c>
      <c r="K21" s="0" t="inlineStr">
        <is>
          <t/>
        </is>
      </c>
      <c r="L21" s="0" t="inlineStr">
        <is>
          <t/>
        </is>
      </c>
      <c r="M21" s="0" t="inlineStr">
        <is>
          <t/>
        </is>
      </c>
      <c r="N21" s="0" t="inlineStr">
        <is>
          <t/>
        </is>
      </c>
      <c r="O21" s="0" t="inlineStr">
        <is>
          <t/>
        </is>
      </c>
      <c r="P21" s="0">
        <f>IF(AND(P$9&gt;=$E21,P$9&lt;=$F21),"■","")</f>
      </c>
      <c r="Q21" s="0">
        <f>IF(AND(Q$9&gt;=$E21,Q$9&lt;=$F21),"■","")</f>
      </c>
      <c r="R21" s="0">
        <f>IF(AND(R$9&gt;=$E21,R$9&lt;=$F21),"■","")</f>
      </c>
      <c r="S21" s="0">
        <f>IF(AND(S$9&gt;=$E21,S$9&lt;=$F21),"■","")</f>
      </c>
      <c r="T21" s="0">
        <f>IF(AND(T$9&gt;=$E21,T$9&lt;=$F21),"■","")</f>
      </c>
      <c r="U21" s="0">
        <f>IF(AND(U$9&gt;=$E21,U$9&lt;=$F21),"■","")</f>
      </c>
      <c r="V21" s="0">
        <f>IF(AND(V$9&gt;=$E21,V$9&lt;=$F21),"■","")</f>
      </c>
      <c r="W21" s="0">
        <f>IF(AND(W$9&gt;=$E21,W$9&lt;=$F21),"■","")</f>
      </c>
      <c r="X21" s="0">
        <f>IF(AND(X$9&gt;=$E21,X$9&lt;=$F21),"■","")</f>
      </c>
      <c r="Y21" s="0">
        <f>IF(AND(Y$9&gt;=$E21,Y$9&lt;=$F21),"■","")</f>
      </c>
      <c r="Z21" s="0">
        <f>IF(AND(Z$9&gt;=$E21,Z$9&lt;=$F21),"■","")</f>
      </c>
      <c r="AA21" s="0">
        <f>IF(AND(AA$9&gt;=$E21,AA$9&lt;=$F21),"■","")</f>
      </c>
      <c r="AB21" s="0">
        <f>IF(AND(AB$9&gt;=$E21,AB$9&lt;=$F21),"■","")</f>
      </c>
      <c r="AC21" s="0">
        <f>IF(AND(AC$9&gt;=$E21,AC$9&lt;=$F21),"■","")</f>
      </c>
      <c r="AD21" s="0">
        <f>IF(AND(AD$9&gt;=$E21,AD$9&lt;=$F21),"■","")</f>
      </c>
      <c r="AE21" s="0">
        <f>IF(AND(AE$9&gt;=$E21,AE$9&lt;=$F21),"■","")</f>
      </c>
      <c r="AF21" s="0">
        <f>IF(AND(AF$9&gt;=$E21,AF$9&lt;=$F21),"■","")</f>
      </c>
      <c r="AG21" s="0">
        <f>IF(AND(AG$9&gt;=$E21,AG$9&lt;=$F21),"■","")</f>
      </c>
      <c r="AH21" s="0">
        <f>IF(AND(AH$9&gt;=$E21,AH$9&lt;=$F21),"■","")</f>
      </c>
      <c r="AI21" s="0">
        <f>IF(AND(AI$9&gt;=$E21,AI$9&lt;=$F21),"■","")</f>
      </c>
      <c r="AJ21" s="0">
        <f>IF(AND(AJ$9&gt;=$E21,AJ$9&lt;=$F21),"■","")</f>
      </c>
      <c r="AK21" s="0">
        <f>IF(AND(AK$9&gt;=$E21,AK$9&lt;=$F21),"■","")</f>
      </c>
      <c r="AL21" s="0">
        <f>IF(AND(AL$9&gt;=$E21,AL$9&lt;=$F21),"■","")</f>
      </c>
      <c r="AM21" s="0">
        <f>IF(AND(AM$9&gt;=$E21,AM$9&lt;=$F21),"■","")</f>
      </c>
      <c r="AN21" s="0">
        <f>IF(AND(AN$9&gt;=$E21,AN$9&lt;=$F21),"■","")</f>
      </c>
      <c r="AO21" s="0">
        <f>IF(AND(AO$9&gt;=$E21,AO$9&lt;=$F21),"■","")</f>
      </c>
      <c r="AP21" s="0">
        <f>IF(AND(AP$9&gt;=$E21,AP$9&lt;=$F21),"■","")</f>
      </c>
      <c r="AQ21" s="0">
        <f>IF(AND(AQ$9&gt;=$E21,AQ$9&lt;=$F21),"■","")</f>
      </c>
      <c r="AR21" s="0">
        <f>IF(AND(AR$9&gt;=$E21,AR$9&lt;=$F21),"■","")</f>
      </c>
      <c r="AS21" s="0">
        <f>IF(AND(AS$9&gt;=$E21,AS$9&lt;=$F21),"■","")</f>
      </c>
      <c r="AT21" s="0">
        <f>IF(AND(AT$9&gt;=$E21,AT$9&lt;=$F21),"■","")</f>
      </c>
      <c r="AU21" s="0">
        <f>IF(AND(AU$9&gt;=$E21,AU$9&lt;=$F21),"■","")</f>
      </c>
      <c r="AV21" s="0">
        <f>IF(AND(AV$9&gt;=$E21,AV$9&lt;=$F21),"■","")</f>
      </c>
      <c r="AW21" s="0">
        <f>IF(AND(AW$9&gt;=$E21,AW$9&lt;=$F21),"■","")</f>
      </c>
      <c r="AX21" s="0">
        <f>IF(AND(AX$9&gt;=$E21,AX$9&lt;=$F21),"■","")</f>
      </c>
      <c r="AY21" s="0">
        <f>IF(AND(AY$9&gt;=$E21,AY$9&lt;=$F21),"■","")</f>
      </c>
      <c r="AZ21" s="0">
        <f>IF(AND(AZ$9&gt;=$E21,AZ$9&lt;=$F21),"■","")</f>
      </c>
      <c r="BA21" s="0">
        <f>IF(AND(BA$9&gt;=$E21,BA$9&lt;=$F21),"■","")</f>
      </c>
      <c r="BB21" s="0">
        <f>IF(AND(BB$9&gt;=$E21,BB$9&lt;=$F21),"■","")</f>
      </c>
      <c r="BC21" s="0">
        <f>IF(AND(BC$9&gt;=$E21,BC$9&lt;=$F21),"■","")</f>
      </c>
      <c r="BD21" s="0">
        <f>IF(AND(BD$9&gt;=$E21,BD$9&lt;=$F21),"■","")</f>
      </c>
      <c r="BE21" s="0">
        <f>IF(AND(BE$9&gt;=$E21,BE$9&lt;=$F21),"■","")</f>
      </c>
      <c r="BF21" s="0">
        <f>IF(AND(BF$9&gt;=$E21,BF$9&lt;=$F21),"■","")</f>
      </c>
      <c r="BG21" s="0">
        <f>IF(AND(BG$9&gt;=$E21,BG$9&lt;=$F21),"■","")</f>
      </c>
      <c r="BH21" s="0">
        <f>IF(AND(BH$9&gt;=$E21,BH$9&lt;=$F21),"■","")</f>
      </c>
      <c r="BI21" s="0">
        <f>IF(AND(BI$9&gt;=$E21,BI$9&lt;=$F21),"■","")</f>
      </c>
      <c r="BJ21" s="0">
        <f>IF(AND(BJ$9&gt;=$E21,BJ$9&lt;=$F21),"■","")</f>
      </c>
      <c r="BK21" s="0">
        <f>IF(AND(BK$9&gt;=$E21,BK$9&lt;=$F21),"■","")</f>
      </c>
      <c r="BL21" s="0">
        <f>IF(AND(BL$9&gt;=$E21,BL$9&lt;=$F21),"■","")</f>
      </c>
      <c r="BM21" s="0">
        <f>IF(AND(BM$9&gt;=$E21,BM$9&lt;=$F21),"■","")</f>
      </c>
      <c r="BN21" s="0">
        <f>IF(AND(BN$9&gt;=$E21,BN$9&lt;=$F21),"■","")</f>
      </c>
      <c r="BO21" s="0">
        <f>IF(AND(BO$9&gt;=$E21,BO$9&lt;=$F21),"■","")</f>
      </c>
      <c r="BP21" s="0">
        <f>IF(AND(BP$9&gt;=$E21,BP$9&lt;=$F21),"■","")</f>
      </c>
      <c r="BQ21" s="0">
        <f>IF(AND(BQ$9&gt;=$E21,BQ$9&lt;=$F21),"■","")</f>
      </c>
      <c r="BR21" s="0">
        <f>IF(AND(BR$9&gt;=$E21,BR$9&lt;=$F21),"■","")</f>
      </c>
      <c r="BS21" s="0">
        <f>IF(AND(BS$9&gt;=$E21,BS$9&lt;=$F21),"■","")</f>
      </c>
      <c r="BT21" s="0">
        <f>IF(AND(BT$9&gt;=$E21,BT$9&lt;=$F21),"■","")</f>
      </c>
      <c r="BU21" s="0">
        <f>IF(AND(BU$9&gt;=$E21,BU$9&lt;=$F21),"■","")</f>
      </c>
      <c r="BV21" s="0">
        <f>IF(AND(BV$9&gt;=$E21,BV$9&lt;=$F21),"■","")</f>
      </c>
      <c r="BW21" s="0">
        <f>IF(AND(BW$9&gt;=$E21,BW$9&lt;=$F21),"■","")</f>
      </c>
    </row>
    <row r="22">
      <c r="A22" s="0" t="inlineStr">
        <is>
          <t>P002-012</t>
        </is>
      </c>
      <c r="B22" s="0" t="inlineStr">
        <is>
          <t/>
        </is>
      </c>
      <c r="C22" s="0" t="inlineStr">
        <is>
          <t/>
        </is>
      </c>
      <c r="D22" s="0" t="inlineStr">
        <is>
          <t/>
        </is>
      </c>
      <c r="E22" s="0" t="inlineStr">
        <is>
          <t/>
        </is>
      </c>
      <c r="F22" s="0" t="inlineStr">
        <is>
          <t/>
        </is>
      </c>
      <c r="G22" s="0" t="inlineStr">
        <is>
          <t/>
        </is>
      </c>
      <c r="H22" s="0" t="inlineStr">
        <is>
          <t/>
        </is>
      </c>
      <c r="I22" s="0" t="inlineStr">
        <is>
          <t/>
        </is>
      </c>
      <c r="J22" s="0">
        <f>SUMIFS('Suivi Temps'!$D:$D,'Suivi Temps'!$A:$A,"P002-012")</f>
      </c>
      <c r="K22" s="0" t="inlineStr">
        <is>
          <t/>
        </is>
      </c>
      <c r="L22" s="0" t="inlineStr">
        <is>
          <t/>
        </is>
      </c>
      <c r="M22" s="0" t="inlineStr">
        <is>
          <t/>
        </is>
      </c>
      <c r="N22" s="0" t="inlineStr">
        <is>
          <t/>
        </is>
      </c>
      <c r="O22" s="0" t="inlineStr">
        <is>
          <t/>
        </is>
      </c>
      <c r="P22" s="0">
        <f>IF(AND(P$9&gt;=$E22,P$9&lt;=$F22),"■","")</f>
      </c>
      <c r="Q22" s="0">
        <f>IF(AND(Q$9&gt;=$E22,Q$9&lt;=$F22),"■","")</f>
      </c>
      <c r="R22" s="0">
        <f>IF(AND(R$9&gt;=$E22,R$9&lt;=$F22),"■","")</f>
      </c>
      <c r="S22" s="0">
        <f>IF(AND(S$9&gt;=$E22,S$9&lt;=$F22),"■","")</f>
      </c>
      <c r="T22" s="0">
        <f>IF(AND(T$9&gt;=$E22,T$9&lt;=$F22),"■","")</f>
      </c>
      <c r="U22" s="0">
        <f>IF(AND(U$9&gt;=$E22,U$9&lt;=$F22),"■","")</f>
      </c>
      <c r="V22" s="0">
        <f>IF(AND(V$9&gt;=$E22,V$9&lt;=$F22),"■","")</f>
      </c>
      <c r="W22" s="0">
        <f>IF(AND(W$9&gt;=$E22,W$9&lt;=$F22),"■","")</f>
      </c>
      <c r="X22" s="0">
        <f>IF(AND(X$9&gt;=$E22,X$9&lt;=$F22),"■","")</f>
      </c>
      <c r="Y22" s="0">
        <f>IF(AND(Y$9&gt;=$E22,Y$9&lt;=$F22),"■","")</f>
      </c>
      <c r="Z22" s="0">
        <f>IF(AND(Z$9&gt;=$E22,Z$9&lt;=$F22),"■","")</f>
      </c>
      <c r="AA22" s="0">
        <f>IF(AND(AA$9&gt;=$E22,AA$9&lt;=$F22),"■","")</f>
      </c>
      <c r="AB22" s="0">
        <f>IF(AND(AB$9&gt;=$E22,AB$9&lt;=$F22),"■","")</f>
      </c>
      <c r="AC22" s="0">
        <f>IF(AND(AC$9&gt;=$E22,AC$9&lt;=$F22),"■","")</f>
      </c>
      <c r="AD22" s="0">
        <f>IF(AND(AD$9&gt;=$E22,AD$9&lt;=$F22),"■","")</f>
      </c>
      <c r="AE22" s="0">
        <f>IF(AND(AE$9&gt;=$E22,AE$9&lt;=$F22),"■","")</f>
      </c>
      <c r="AF22" s="0">
        <f>IF(AND(AF$9&gt;=$E22,AF$9&lt;=$F22),"■","")</f>
      </c>
      <c r="AG22" s="0">
        <f>IF(AND(AG$9&gt;=$E22,AG$9&lt;=$F22),"■","")</f>
      </c>
      <c r="AH22" s="0">
        <f>IF(AND(AH$9&gt;=$E22,AH$9&lt;=$F22),"■","")</f>
      </c>
      <c r="AI22" s="0">
        <f>IF(AND(AI$9&gt;=$E22,AI$9&lt;=$F22),"■","")</f>
      </c>
      <c r="AJ22" s="0">
        <f>IF(AND(AJ$9&gt;=$E22,AJ$9&lt;=$F22),"■","")</f>
      </c>
      <c r="AK22" s="0">
        <f>IF(AND(AK$9&gt;=$E22,AK$9&lt;=$F22),"■","")</f>
      </c>
      <c r="AL22" s="0">
        <f>IF(AND(AL$9&gt;=$E22,AL$9&lt;=$F22),"■","")</f>
      </c>
      <c r="AM22" s="0">
        <f>IF(AND(AM$9&gt;=$E22,AM$9&lt;=$F22),"■","")</f>
      </c>
      <c r="AN22" s="0">
        <f>IF(AND(AN$9&gt;=$E22,AN$9&lt;=$F22),"■","")</f>
      </c>
      <c r="AO22" s="0">
        <f>IF(AND(AO$9&gt;=$E22,AO$9&lt;=$F22),"■","")</f>
      </c>
      <c r="AP22" s="0">
        <f>IF(AND(AP$9&gt;=$E22,AP$9&lt;=$F22),"■","")</f>
      </c>
      <c r="AQ22" s="0">
        <f>IF(AND(AQ$9&gt;=$E22,AQ$9&lt;=$F22),"■","")</f>
      </c>
      <c r="AR22" s="0">
        <f>IF(AND(AR$9&gt;=$E22,AR$9&lt;=$F22),"■","")</f>
      </c>
      <c r="AS22" s="0">
        <f>IF(AND(AS$9&gt;=$E22,AS$9&lt;=$F22),"■","")</f>
      </c>
      <c r="AT22" s="0">
        <f>IF(AND(AT$9&gt;=$E22,AT$9&lt;=$F22),"■","")</f>
      </c>
      <c r="AU22" s="0">
        <f>IF(AND(AU$9&gt;=$E22,AU$9&lt;=$F22),"■","")</f>
      </c>
      <c r="AV22" s="0">
        <f>IF(AND(AV$9&gt;=$E22,AV$9&lt;=$F22),"■","")</f>
      </c>
      <c r="AW22" s="0">
        <f>IF(AND(AW$9&gt;=$E22,AW$9&lt;=$F22),"■","")</f>
      </c>
      <c r="AX22" s="0">
        <f>IF(AND(AX$9&gt;=$E22,AX$9&lt;=$F22),"■","")</f>
      </c>
      <c r="AY22" s="0">
        <f>IF(AND(AY$9&gt;=$E22,AY$9&lt;=$F22),"■","")</f>
      </c>
      <c r="AZ22" s="0">
        <f>IF(AND(AZ$9&gt;=$E22,AZ$9&lt;=$F22),"■","")</f>
      </c>
      <c r="BA22" s="0">
        <f>IF(AND(BA$9&gt;=$E22,BA$9&lt;=$F22),"■","")</f>
      </c>
      <c r="BB22" s="0">
        <f>IF(AND(BB$9&gt;=$E22,BB$9&lt;=$F22),"■","")</f>
      </c>
      <c r="BC22" s="0">
        <f>IF(AND(BC$9&gt;=$E22,BC$9&lt;=$F22),"■","")</f>
      </c>
      <c r="BD22" s="0">
        <f>IF(AND(BD$9&gt;=$E22,BD$9&lt;=$F22),"■","")</f>
      </c>
      <c r="BE22" s="0">
        <f>IF(AND(BE$9&gt;=$E22,BE$9&lt;=$F22),"■","")</f>
      </c>
      <c r="BF22" s="0">
        <f>IF(AND(BF$9&gt;=$E22,BF$9&lt;=$F22),"■","")</f>
      </c>
      <c r="BG22" s="0">
        <f>IF(AND(BG$9&gt;=$E22,BG$9&lt;=$F22),"■","")</f>
      </c>
      <c r="BH22" s="0">
        <f>IF(AND(BH$9&gt;=$E22,BH$9&lt;=$F22),"■","")</f>
      </c>
      <c r="BI22" s="0">
        <f>IF(AND(BI$9&gt;=$E22,BI$9&lt;=$F22),"■","")</f>
      </c>
      <c r="BJ22" s="0">
        <f>IF(AND(BJ$9&gt;=$E22,BJ$9&lt;=$F22),"■","")</f>
      </c>
      <c r="BK22" s="0">
        <f>IF(AND(BK$9&gt;=$E22,BK$9&lt;=$F22),"■","")</f>
      </c>
      <c r="BL22" s="0">
        <f>IF(AND(BL$9&gt;=$E22,BL$9&lt;=$F22),"■","")</f>
      </c>
      <c r="BM22" s="0">
        <f>IF(AND(BM$9&gt;=$E22,BM$9&lt;=$F22),"■","")</f>
      </c>
      <c r="BN22" s="0">
        <f>IF(AND(BN$9&gt;=$E22,BN$9&lt;=$F22),"■","")</f>
      </c>
      <c r="BO22" s="0">
        <f>IF(AND(BO$9&gt;=$E22,BO$9&lt;=$F22),"■","")</f>
      </c>
      <c r="BP22" s="0">
        <f>IF(AND(BP$9&gt;=$E22,BP$9&lt;=$F22),"■","")</f>
      </c>
      <c r="BQ22" s="0">
        <f>IF(AND(BQ$9&gt;=$E22,BQ$9&lt;=$F22),"■","")</f>
      </c>
      <c r="BR22" s="0">
        <f>IF(AND(BR$9&gt;=$E22,BR$9&lt;=$F22),"■","")</f>
      </c>
      <c r="BS22" s="0">
        <f>IF(AND(BS$9&gt;=$E22,BS$9&lt;=$F22),"■","")</f>
      </c>
      <c r="BT22" s="0">
        <f>IF(AND(BT$9&gt;=$E22,BT$9&lt;=$F22),"■","")</f>
      </c>
      <c r="BU22" s="0">
        <f>IF(AND(BU$9&gt;=$E22,BU$9&lt;=$F22),"■","")</f>
      </c>
      <c r="BV22" s="0">
        <f>IF(AND(BV$9&gt;=$E22,BV$9&lt;=$F22),"■","")</f>
      </c>
      <c r="BW22" s="0">
        <f>IF(AND(BW$9&gt;=$E22,BW$9&lt;=$F22),"■","")</f>
      </c>
    </row>
    <row r="23">
      <c r="A23" s="0" t="inlineStr">
        <is>
          <t>P002-013</t>
        </is>
      </c>
      <c r="B23" s="0" t="inlineStr">
        <is>
          <t/>
        </is>
      </c>
      <c r="C23" s="0" t="inlineStr">
        <is>
          <t/>
        </is>
      </c>
      <c r="D23" s="0" t="inlineStr">
        <is>
          <t/>
        </is>
      </c>
      <c r="E23" s="0" t="inlineStr">
        <is>
          <t/>
        </is>
      </c>
      <c r="F23" s="0" t="inlineStr">
        <is>
          <t/>
        </is>
      </c>
      <c r="G23" s="0" t="inlineStr">
        <is>
          <t/>
        </is>
      </c>
      <c r="H23" s="0" t="inlineStr">
        <is>
          <t/>
        </is>
      </c>
      <c r="I23" s="0" t="inlineStr">
        <is>
          <t/>
        </is>
      </c>
      <c r="J23" s="0">
        <f>SUMIFS('Suivi Temps'!$D:$D,'Suivi Temps'!$A:$A,"P002-013")</f>
      </c>
      <c r="K23" s="0" t="inlineStr">
        <is>
          <t/>
        </is>
      </c>
      <c r="L23" s="0" t="inlineStr">
        <is>
          <t/>
        </is>
      </c>
      <c r="M23" s="0" t="inlineStr">
        <is>
          <t/>
        </is>
      </c>
      <c r="N23" s="0" t="inlineStr">
        <is>
          <t/>
        </is>
      </c>
      <c r="O23" s="0" t="inlineStr">
        <is>
          <t/>
        </is>
      </c>
      <c r="P23" s="0">
        <f>IF(AND(P$9&gt;=$E23,P$9&lt;=$F23),"■","")</f>
      </c>
      <c r="Q23" s="0">
        <f>IF(AND(Q$9&gt;=$E23,Q$9&lt;=$F23),"■","")</f>
      </c>
      <c r="R23" s="0">
        <f>IF(AND(R$9&gt;=$E23,R$9&lt;=$F23),"■","")</f>
      </c>
      <c r="S23" s="0">
        <f>IF(AND(S$9&gt;=$E23,S$9&lt;=$F23),"■","")</f>
      </c>
      <c r="T23" s="0">
        <f>IF(AND(T$9&gt;=$E23,T$9&lt;=$F23),"■","")</f>
      </c>
      <c r="U23" s="0">
        <f>IF(AND(U$9&gt;=$E23,U$9&lt;=$F23),"■","")</f>
      </c>
      <c r="V23" s="0">
        <f>IF(AND(V$9&gt;=$E23,V$9&lt;=$F23),"■","")</f>
      </c>
      <c r="W23" s="0">
        <f>IF(AND(W$9&gt;=$E23,W$9&lt;=$F23),"■","")</f>
      </c>
      <c r="X23" s="0">
        <f>IF(AND(X$9&gt;=$E23,X$9&lt;=$F23),"■","")</f>
      </c>
      <c r="Y23" s="0">
        <f>IF(AND(Y$9&gt;=$E23,Y$9&lt;=$F23),"■","")</f>
      </c>
      <c r="Z23" s="0">
        <f>IF(AND(Z$9&gt;=$E23,Z$9&lt;=$F23),"■","")</f>
      </c>
      <c r="AA23" s="0">
        <f>IF(AND(AA$9&gt;=$E23,AA$9&lt;=$F23),"■","")</f>
      </c>
      <c r="AB23" s="0">
        <f>IF(AND(AB$9&gt;=$E23,AB$9&lt;=$F23),"■","")</f>
      </c>
      <c r="AC23" s="0">
        <f>IF(AND(AC$9&gt;=$E23,AC$9&lt;=$F23),"■","")</f>
      </c>
      <c r="AD23" s="0">
        <f>IF(AND(AD$9&gt;=$E23,AD$9&lt;=$F23),"■","")</f>
      </c>
      <c r="AE23" s="0">
        <f>IF(AND(AE$9&gt;=$E23,AE$9&lt;=$F23),"■","")</f>
      </c>
      <c r="AF23" s="0">
        <f>IF(AND(AF$9&gt;=$E23,AF$9&lt;=$F23),"■","")</f>
      </c>
      <c r="AG23" s="0">
        <f>IF(AND(AG$9&gt;=$E23,AG$9&lt;=$F23),"■","")</f>
      </c>
      <c r="AH23" s="0">
        <f>IF(AND(AH$9&gt;=$E23,AH$9&lt;=$F23),"■","")</f>
      </c>
      <c r="AI23" s="0">
        <f>IF(AND(AI$9&gt;=$E23,AI$9&lt;=$F23),"■","")</f>
      </c>
      <c r="AJ23" s="0">
        <f>IF(AND(AJ$9&gt;=$E23,AJ$9&lt;=$F23),"■","")</f>
      </c>
      <c r="AK23" s="0">
        <f>IF(AND(AK$9&gt;=$E23,AK$9&lt;=$F23),"■","")</f>
      </c>
      <c r="AL23" s="0">
        <f>IF(AND(AL$9&gt;=$E23,AL$9&lt;=$F23),"■","")</f>
      </c>
      <c r="AM23" s="0">
        <f>IF(AND(AM$9&gt;=$E23,AM$9&lt;=$F23),"■","")</f>
      </c>
      <c r="AN23" s="0">
        <f>IF(AND(AN$9&gt;=$E23,AN$9&lt;=$F23),"■","")</f>
      </c>
      <c r="AO23" s="0">
        <f>IF(AND(AO$9&gt;=$E23,AO$9&lt;=$F23),"■","")</f>
      </c>
      <c r="AP23" s="0">
        <f>IF(AND(AP$9&gt;=$E23,AP$9&lt;=$F23),"■","")</f>
      </c>
      <c r="AQ23" s="0">
        <f>IF(AND(AQ$9&gt;=$E23,AQ$9&lt;=$F23),"■","")</f>
      </c>
      <c r="AR23" s="0">
        <f>IF(AND(AR$9&gt;=$E23,AR$9&lt;=$F23),"■","")</f>
      </c>
      <c r="AS23" s="0">
        <f>IF(AND(AS$9&gt;=$E23,AS$9&lt;=$F23),"■","")</f>
      </c>
      <c r="AT23" s="0">
        <f>IF(AND(AT$9&gt;=$E23,AT$9&lt;=$F23),"■","")</f>
      </c>
      <c r="AU23" s="0">
        <f>IF(AND(AU$9&gt;=$E23,AU$9&lt;=$F23),"■","")</f>
      </c>
      <c r="AV23" s="0">
        <f>IF(AND(AV$9&gt;=$E23,AV$9&lt;=$F23),"■","")</f>
      </c>
      <c r="AW23" s="0">
        <f>IF(AND(AW$9&gt;=$E23,AW$9&lt;=$F23),"■","")</f>
      </c>
      <c r="AX23" s="0">
        <f>IF(AND(AX$9&gt;=$E23,AX$9&lt;=$F23),"■","")</f>
      </c>
      <c r="AY23" s="0">
        <f>IF(AND(AY$9&gt;=$E23,AY$9&lt;=$F23),"■","")</f>
      </c>
      <c r="AZ23" s="0">
        <f>IF(AND(AZ$9&gt;=$E23,AZ$9&lt;=$F23),"■","")</f>
      </c>
      <c r="BA23" s="0">
        <f>IF(AND(BA$9&gt;=$E23,BA$9&lt;=$F23),"■","")</f>
      </c>
      <c r="BB23" s="0">
        <f>IF(AND(BB$9&gt;=$E23,BB$9&lt;=$F23),"■","")</f>
      </c>
      <c r="BC23" s="0">
        <f>IF(AND(BC$9&gt;=$E23,BC$9&lt;=$F23),"■","")</f>
      </c>
      <c r="BD23" s="0">
        <f>IF(AND(BD$9&gt;=$E23,BD$9&lt;=$F23),"■","")</f>
      </c>
      <c r="BE23" s="0">
        <f>IF(AND(BE$9&gt;=$E23,BE$9&lt;=$F23),"■","")</f>
      </c>
      <c r="BF23" s="0">
        <f>IF(AND(BF$9&gt;=$E23,BF$9&lt;=$F23),"■","")</f>
      </c>
      <c r="BG23" s="0">
        <f>IF(AND(BG$9&gt;=$E23,BG$9&lt;=$F23),"■","")</f>
      </c>
      <c r="BH23" s="0">
        <f>IF(AND(BH$9&gt;=$E23,BH$9&lt;=$F23),"■","")</f>
      </c>
      <c r="BI23" s="0">
        <f>IF(AND(BI$9&gt;=$E23,BI$9&lt;=$F23),"■","")</f>
      </c>
      <c r="BJ23" s="0">
        <f>IF(AND(BJ$9&gt;=$E23,BJ$9&lt;=$F23),"■","")</f>
      </c>
      <c r="BK23" s="0">
        <f>IF(AND(BK$9&gt;=$E23,BK$9&lt;=$F23),"■","")</f>
      </c>
      <c r="BL23" s="0">
        <f>IF(AND(BL$9&gt;=$E23,BL$9&lt;=$F23),"■","")</f>
      </c>
      <c r="BM23" s="0">
        <f>IF(AND(BM$9&gt;=$E23,BM$9&lt;=$F23),"■","")</f>
      </c>
      <c r="BN23" s="0">
        <f>IF(AND(BN$9&gt;=$E23,BN$9&lt;=$F23),"■","")</f>
      </c>
      <c r="BO23" s="0">
        <f>IF(AND(BO$9&gt;=$E23,BO$9&lt;=$F23),"■","")</f>
      </c>
      <c r="BP23" s="0">
        <f>IF(AND(BP$9&gt;=$E23,BP$9&lt;=$F23),"■","")</f>
      </c>
      <c r="BQ23" s="0">
        <f>IF(AND(BQ$9&gt;=$E23,BQ$9&lt;=$F23),"■","")</f>
      </c>
      <c r="BR23" s="0">
        <f>IF(AND(BR$9&gt;=$E23,BR$9&lt;=$F23),"■","")</f>
      </c>
      <c r="BS23" s="0">
        <f>IF(AND(BS$9&gt;=$E23,BS$9&lt;=$F23),"■","")</f>
      </c>
      <c r="BT23" s="0">
        <f>IF(AND(BT$9&gt;=$E23,BT$9&lt;=$F23),"■","")</f>
      </c>
      <c r="BU23" s="0">
        <f>IF(AND(BU$9&gt;=$E23,BU$9&lt;=$F23),"■","")</f>
      </c>
      <c r="BV23" s="0">
        <f>IF(AND(BV$9&gt;=$E23,BV$9&lt;=$F23),"■","")</f>
      </c>
      <c r="BW23" s="0">
        <f>IF(AND(BW$9&gt;=$E23,BW$9&lt;=$F23),"■","")</f>
      </c>
    </row>
    <row r="24">
      <c r="A24" s="0" t="inlineStr">
        <is>
          <t>P002-014</t>
        </is>
      </c>
      <c r="B24" s="0" t="inlineStr">
        <is>
          <t/>
        </is>
      </c>
      <c r="C24" s="0" t="inlineStr">
        <is>
          <t/>
        </is>
      </c>
      <c r="D24" s="0" t="inlineStr">
        <is>
          <t/>
        </is>
      </c>
      <c r="E24" s="0" t="inlineStr">
        <is>
          <t/>
        </is>
      </c>
      <c r="F24" s="0" t="inlineStr">
        <is>
          <t/>
        </is>
      </c>
      <c r="G24" s="0" t="inlineStr">
        <is>
          <t/>
        </is>
      </c>
      <c r="H24" s="0" t="inlineStr">
        <is>
          <t/>
        </is>
      </c>
      <c r="I24" s="0" t="inlineStr">
        <is>
          <t/>
        </is>
      </c>
      <c r="J24" s="0">
        <f>SUMIFS('Suivi Temps'!$D:$D,'Suivi Temps'!$A:$A,"P002-014")</f>
      </c>
      <c r="K24" s="0" t="inlineStr">
        <is>
          <t/>
        </is>
      </c>
      <c r="L24" s="0" t="inlineStr">
        <is>
          <t/>
        </is>
      </c>
      <c r="M24" s="0" t="inlineStr">
        <is>
          <t/>
        </is>
      </c>
      <c r="N24" s="0" t="inlineStr">
        <is>
          <t/>
        </is>
      </c>
      <c r="O24" s="0" t="inlineStr">
        <is>
          <t/>
        </is>
      </c>
      <c r="P24" s="0">
        <f>IF(AND(P$9&gt;=$E24,P$9&lt;=$F24),"■","")</f>
      </c>
      <c r="Q24" s="0">
        <f>IF(AND(Q$9&gt;=$E24,Q$9&lt;=$F24),"■","")</f>
      </c>
      <c r="R24" s="0">
        <f>IF(AND(R$9&gt;=$E24,R$9&lt;=$F24),"■","")</f>
      </c>
      <c r="S24" s="0">
        <f>IF(AND(S$9&gt;=$E24,S$9&lt;=$F24),"■","")</f>
      </c>
      <c r="T24" s="0">
        <f>IF(AND(T$9&gt;=$E24,T$9&lt;=$F24),"■","")</f>
      </c>
      <c r="U24" s="0">
        <f>IF(AND(U$9&gt;=$E24,U$9&lt;=$F24),"■","")</f>
      </c>
      <c r="V24" s="0">
        <f>IF(AND(V$9&gt;=$E24,V$9&lt;=$F24),"■","")</f>
      </c>
      <c r="W24" s="0">
        <f>IF(AND(W$9&gt;=$E24,W$9&lt;=$F24),"■","")</f>
      </c>
      <c r="X24" s="0">
        <f>IF(AND(X$9&gt;=$E24,X$9&lt;=$F24),"■","")</f>
      </c>
      <c r="Y24" s="0">
        <f>IF(AND(Y$9&gt;=$E24,Y$9&lt;=$F24),"■","")</f>
      </c>
      <c r="Z24" s="0">
        <f>IF(AND(Z$9&gt;=$E24,Z$9&lt;=$F24),"■","")</f>
      </c>
      <c r="AA24" s="0">
        <f>IF(AND(AA$9&gt;=$E24,AA$9&lt;=$F24),"■","")</f>
      </c>
      <c r="AB24" s="0">
        <f>IF(AND(AB$9&gt;=$E24,AB$9&lt;=$F24),"■","")</f>
      </c>
      <c r="AC24" s="0">
        <f>IF(AND(AC$9&gt;=$E24,AC$9&lt;=$F24),"■","")</f>
      </c>
      <c r="AD24" s="0">
        <f>IF(AND(AD$9&gt;=$E24,AD$9&lt;=$F24),"■","")</f>
      </c>
      <c r="AE24" s="0">
        <f>IF(AND(AE$9&gt;=$E24,AE$9&lt;=$F24),"■","")</f>
      </c>
      <c r="AF24" s="0">
        <f>IF(AND(AF$9&gt;=$E24,AF$9&lt;=$F24),"■","")</f>
      </c>
      <c r="AG24" s="0">
        <f>IF(AND(AG$9&gt;=$E24,AG$9&lt;=$F24),"■","")</f>
      </c>
      <c r="AH24" s="0">
        <f>IF(AND(AH$9&gt;=$E24,AH$9&lt;=$F24),"■","")</f>
      </c>
      <c r="AI24" s="0">
        <f>IF(AND(AI$9&gt;=$E24,AI$9&lt;=$F24),"■","")</f>
      </c>
      <c r="AJ24" s="0">
        <f>IF(AND(AJ$9&gt;=$E24,AJ$9&lt;=$F24),"■","")</f>
      </c>
      <c r="AK24" s="0">
        <f>IF(AND(AK$9&gt;=$E24,AK$9&lt;=$F24),"■","")</f>
      </c>
      <c r="AL24" s="0">
        <f>IF(AND(AL$9&gt;=$E24,AL$9&lt;=$F24),"■","")</f>
      </c>
      <c r="AM24" s="0">
        <f>IF(AND(AM$9&gt;=$E24,AM$9&lt;=$F24),"■","")</f>
      </c>
      <c r="AN24" s="0">
        <f>IF(AND(AN$9&gt;=$E24,AN$9&lt;=$F24),"■","")</f>
      </c>
      <c r="AO24" s="0">
        <f>IF(AND(AO$9&gt;=$E24,AO$9&lt;=$F24),"■","")</f>
      </c>
      <c r="AP24" s="0">
        <f>IF(AND(AP$9&gt;=$E24,AP$9&lt;=$F24),"■","")</f>
      </c>
      <c r="AQ24" s="0">
        <f>IF(AND(AQ$9&gt;=$E24,AQ$9&lt;=$F24),"■","")</f>
      </c>
      <c r="AR24" s="0">
        <f>IF(AND(AR$9&gt;=$E24,AR$9&lt;=$F24),"■","")</f>
      </c>
      <c r="AS24" s="0">
        <f>IF(AND(AS$9&gt;=$E24,AS$9&lt;=$F24),"■","")</f>
      </c>
      <c r="AT24" s="0">
        <f>IF(AND(AT$9&gt;=$E24,AT$9&lt;=$F24),"■","")</f>
      </c>
      <c r="AU24" s="0">
        <f>IF(AND(AU$9&gt;=$E24,AU$9&lt;=$F24),"■","")</f>
      </c>
      <c r="AV24" s="0">
        <f>IF(AND(AV$9&gt;=$E24,AV$9&lt;=$F24),"■","")</f>
      </c>
      <c r="AW24" s="0">
        <f>IF(AND(AW$9&gt;=$E24,AW$9&lt;=$F24),"■","")</f>
      </c>
      <c r="AX24" s="0">
        <f>IF(AND(AX$9&gt;=$E24,AX$9&lt;=$F24),"■","")</f>
      </c>
      <c r="AY24" s="0">
        <f>IF(AND(AY$9&gt;=$E24,AY$9&lt;=$F24),"■","")</f>
      </c>
      <c r="AZ24" s="0">
        <f>IF(AND(AZ$9&gt;=$E24,AZ$9&lt;=$F24),"■","")</f>
      </c>
      <c r="BA24" s="0">
        <f>IF(AND(BA$9&gt;=$E24,BA$9&lt;=$F24),"■","")</f>
      </c>
      <c r="BB24" s="0">
        <f>IF(AND(BB$9&gt;=$E24,BB$9&lt;=$F24),"■","")</f>
      </c>
      <c r="BC24" s="0">
        <f>IF(AND(BC$9&gt;=$E24,BC$9&lt;=$F24),"■","")</f>
      </c>
      <c r="BD24" s="0">
        <f>IF(AND(BD$9&gt;=$E24,BD$9&lt;=$F24),"■","")</f>
      </c>
      <c r="BE24" s="0">
        <f>IF(AND(BE$9&gt;=$E24,BE$9&lt;=$F24),"■","")</f>
      </c>
      <c r="BF24" s="0">
        <f>IF(AND(BF$9&gt;=$E24,BF$9&lt;=$F24),"■","")</f>
      </c>
      <c r="BG24" s="0">
        <f>IF(AND(BG$9&gt;=$E24,BG$9&lt;=$F24),"■","")</f>
      </c>
      <c r="BH24" s="0">
        <f>IF(AND(BH$9&gt;=$E24,BH$9&lt;=$F24),"■","")</f>
      </c>
      <c r="BI24" s="0">
        <f>IF(AND(BI$9&gt;=$E24,BI$9&lt;=$F24),"■","")</f>
      </c>
      <c r="BJ24" s="0">
        <f>IF(AND(BJ$9&gt;=$E24,BJ$9&lt;=$F24),"■","")</f>
      </c>
      <c r="BK24" s="0">
        <f>IF(AND(BK$9&gt;=$E24,BK$9&lt;=$F24),"■","")</f>
      </c>
      <c r="BL24" s="0">
        <f>IF(AND(BL$9&gt;=$E24,BL$9&lt;=$F24),"■","")</f>
      </c>
      <c r="BM24" s="0">
        <f>IF(AND(BM$9&gt;=$E24,BM$9&lt;=$F24),"■","")</f>
      </c>
      <c r="BN24" s="0">
        <f>IF(AND(BN$9&gt;=$E24,BN$9&lt;=$F24),"■","")</f>
      </c>
      <c r="BO24" s="0">
        <f>IF(AND(BO$9&gt;=$E24,BO$9&lt;=$F24),"■","")</f>
      </c>
      <c r="BP24" s="0">
        <f>IF(AND(BP$9&gt;=$E24,BP$9&lt;=$F24),"■","")</f>
      </c>
      <c r="BQ24" s="0">
        <f>IF(AND(BQ$9&gt;=$E24,BQ$9&lt;=$F24),"■","")</f>
      </c>
      <c r="BR24" s="0">
        <f>IF(AND(BR$9&gt;=$E24,BR$9&lt;=$F24),"■","")</f>
      </c>
      <c r="BS24" s="0">
        <f>IF(AND(BS$9&gt;=$E24,BS$9&lt;=$F24),"■","")</f>
      </c>
      <c r="BT24" s="0">
        <f>IF(AND(BT$9&gt;=$E24,BT$9&lt;=$F24),"■","")</f>
      </c>
      <c r="BU24" s="0">
        <f>IF(AND(BU$9&gt;=$E24,BU$9&lt;=$F24),"■","")</f>
      </c>
      <c r="BV24" s="0">
        <f>IF(AND(BV$9&gt;=$E24,BV$9&lt;=$F24),"■","")</f>
      </c>
      <c r="BW24" s="0">
        <f>IF(AND(BW$9&gt;=$E24,BW$9&lt;=$F24),"■","")</f>
      </c>
    </row>
    <row r="25">
      <c r="A25" s="0" t="inlineStr">
        <is>
          <t>P002-015</t>
        </is>
      </c>
      <c r="B25" s="0" t="inlineStr">
        <is>
          <t/>
        </is>
      </c>
      <c r="C25" s="0" t="inlineStr">
        <is>
          <t/>
        </is>
      </c>
      <c r="D25" s="0" t="inlineStr">
        <is>
          <t/>
        </is>
      </c>
      <c r="E25" s="0" t="inlineStr">
        <is>
          <t/>
        </is>
      </c>
      <c r="F25" s="0" t="inlineStr">
        <is>
          <t/>
        </is>
      </c>
      <c r="G25" s="0" t="inlineStr">
        <is>
          <t/>
        </is>
      </c>
      <c r="H25" s="0" t="inlineStr">
        <is>
          <t/>
        </is>
      </c>
      <c r="I25" s="0" t="inlineStr">
        <is>
          <t/>
        </is>
      </c>
      <c r="J25" s="0">
        <f>SUMIFS('Suivi Temps'!$D:$D,'Suivi Temps'!$A:$A,"P002-015")</f>
      </c>
      <c r="K25" s="0" t="inlineStr">
        <is>
          <t/>
        </is>
      </c>
      <c r="L25" s="0" t="inlineStr">
        <is>
          <t/>
        </is>
      </c>
      <c r="M25" s="0" t="inlineStr">
        <is>
          <t/>
        </is>
      </c>
      <c r="N25" s="0" t="inlineStr">
        <is>
          <t/>
        </is>
      </c>
      <c r="O25" s="0" t="inlineStr">
        <is>
          <t/>
        </is>
      </c>
      <c r="P25" s="0">
        <f>IF(AND(P$9&gt;=$E25,P$9&lt;=$F25),"■","")</f>
      </c>
      <c r="Q25" s="0">
        <f>IF(AND(Q$9&gt;=$E25,Q$9&lt;=$F25),"■","")</f>
      </c>
      <c r="R25" s="0">
        <f>IF(AND(R$9&gt;=$E25,R$9&lt;=$F25),"■","")</f>
      </c>
      <c r="S25" s="0">
        <f>IF(AND(S$9&gt;=$E25,S$9&lt;=$F25),"■","")</f>
      </c>
      <c r="T25" s="0">
        <f>IF(AND(T$9&gt;=$E25,T$9&lt;=$F25),"■","")</f>
      </c>
      <c r="U25" s="0">
        <f>IF(AND(U$9&gt;=$E25,U$9&lt;=$F25),"■","")</f>
      </c>
      <c r="V25" s="0">
        <f>IF(AND(V$9&gt;=$E25,V$9&lt;=$F25),"■","")</f>
      </c>
      <c r="W25" s="0">
        <f>IF(AND(W$9&gt;=$E25,W$9&lt;=$F25),"■","")</f>
      </c>
      <c r="X25" s="0">
        <f>IF(AND(X$9&gt;=$E25,X$9&lt;=$F25),"■","")</f>
      </c>
      <c r="Y25" s="0">
        <f>IF(AND(Y$9&gt;=$E25,Y$9&lt;=$F25),"■","")</f>
      </c>
      <c r="Z25" s="0">
        <f>IF(AND(Z$9&gt;=$E25,Z$9&lt;=$F25),"■","")</f>
      </c>
      <c r="AA25" s="0">
        <f>IF(AND(AA$9&gt;=$E25,AA$9&lt;=$F25),"■","")</f>
      </c>
      <c r="AB25" s="0">
        <f>IF(AND(AB$9&gt;=$E25,AB$9&lt;=$F25),"■","")</f>
      </c>
      <c r="AC25" s="0">
        <f>IF(AND(AC$9&gt;=$E25,AC$9&lt;=$F25),"■","")</f>
      </c>
      <c r="AD25" s="0">
        <f>IF(AND(AD$9&gt;=$E25,AD$9&lt;=$F25),"■","")</f>
      </c>
      <c r="AE25" s="0">
        <f>IF(AND(AE$9&gt;=$E25,AE$9&lt;=$F25),"■","")</f>
      </c>
      <c r="AF25" s="0">
        <f>IF(AND(AF$9&gt;=$E25,AF$9&lt;=$F25),"■","")</f>
      </c>
      <c r="AG25" s="0">
        <f>IF(AND(AG$9&gt;=$E25,AG$9&lt;=$F25),"■","")</f>
      </c>
      <c r="AH25" s="0">
        <f>IF(AND(AH$9&gt;=$E25,AH$9&lt;=$F25),"■","")</f>
      </c>
      <c r="AI25" s="0">
        <f>IF(AND(AI$9&gt;=$E25,AI$9&lt;=$F25),"■","")</f>
      </c>
      <c r="AJ25" s="0">
        <f>IF(AND(AJ$9&gt;=$E25,AJ$9&lt;=$F25),"■","")</f>
      </c>
      <c r="AK25" s="0">
        <f>IF(AND(AK$9&gt;=$E25,AK$9&lt;=$F25),"■","")</f>
      </c>
      <c r="AL25" s="0">
        <f>IF(AND(AL$9&gt;=$E25,AL$9&lt;=$F25),"■","")</f>
      </c>
      <c r="AM25" s="0">
        <f>IF(AND(AM$9&gt;=$E25,AM$9&lt;=$F25),"■","")</f>
      </c>
      <c r="AN25" s="0">
        <f>IF(AND(AN$9&gt;=$E25,AN$9&lt;=$F25),"■","")</f>
      </c>
      <c r="AO25" s="0">
        <f>IF(AND(AO$9&gt;=$E25,AO$9&lt;=$F25),"■","")</f>
      </c>
      <c r="AP25" s="0">
        <f>IF(AND(AP$9&gt;=$E25,AP$9&lt;=$F25),"■","")</f>
      </c>
      <c r="AQ25" s="0">
        <f>IF(AND(AQ$9&gt;=$E25,AQ$9&lt;=$F25),"■","")</f>
      </c>
      <c r="AR25" s="0">
        <f>IF(AND(AR$9&gt;=$E25,AR$9&lt;=$F25),"■","")</f>
      </c>
      <c r="AS25" s="0">
        <f>IF(AND(AS$9&gt;=$E25,AS$9&lt;=$F25),"■","")</f>
      </c>
      <c r="AT25" s="0">
        <f>IF(AND(AT$9&gt;=$E25,AT$9&lt;=$F25),"■","")</f>
      </c>
      <c r="AU25" s="0">
        <f>IF(AND(AU$9&gt;=$E25,AU$9&lt;=$F25),"■","")</f>
      </c>
      <c r="AV25" s="0">
        <f>IF(AND(AV$9&gt;=$E25,AV$9&lt;=$F25),"■","")</f>
      </c>
      <c r="AW25" s="0">
        <f>IF(AND(AW$9&gt;=$E25,AW$9&lt;=$F25),"■","")</f>
      </c>
      <c r="AX25" s="0">
        <f>IF(AND(AX$9&gt;=$E25,AX$9&lt;=$F25),"■","")</f>
      </c>
      <c r="AY25" s="0">
        <f>IF(AND(AY$9&gt;=$E25,AY$9&lt;=$F25),"■","")</f>
      </c>
      <c r="AZ25" s="0">
        <f>IF(AND(AZ$9&gt;=$E25,AZ$9&lt;=$F25),"■","")</f>
      </c>
      <c r="BA25" s="0">
        <f>IF(AND(BA$9&gt;=$E25,BA$9&lt;=$F25),"■","")</f>
      </c>
      <c r="BB25" s="0">
        <f>IF(AND(BB$9&gt;=$E25,BB$9&lt;=$F25),"■","")</f>
      </c>
      <c r="BC25" s="0">
        <f>IF(AND(BC$9&gt;=$E25,BC$9&lt;=$F25),"■","")</f>
      </c>
      <c r="BD25" s="0">
        <f>IF(AND(BD$9&gt;=$E25,BD$9&lt;=$F25),"■","")</f>
      </c>
      <c r="BE25" s="0">
        <f>IF(AND(BE$9&gt;=$E25,BE$9&lt;=$F25),"■","")</f>
      </c>
      <c r="BF25" s="0">
        <f>IF(AND(BF$9&gt;=$E25,BF$9&lt;=$F25),"■","")</f>
      </c>
      <c r="BG25" s="0">
        <f>IF(AND(BG$9&gt;=$E25,BG$9&lt;=$F25),"■","")</f>
      </c>
      <c r="BH25" s="0">
        <f>IF(AND(BH$9&gt;=$E25,BH$9&lt;=$F25),"■","")</f>
      </c>
      <c r="BI25" s="0">
        <f>IF(AND(BI$9&gt;=$E25,BI$9&lt;=$F25),"■","")</f>
      </c>
      <c r="BJ25" s="0">
        <f>IF(AND(BJ$9&gt;=$E25,BJ$9&lt;=$F25),"■","")</f>
      </c>
      <c r="BK25" s="0">
        <f>IF(AND(BK$9&gt;=$E25,BK$9&lt;=$F25),"■","")</f>
      </c>
      <c r="BL25" s="0">
        <f>IF(AND(BL$9&gt;=$E25,BL$9&lt;=$F25),"■","")</f>
      </c>
      <c r="BM25" s="0">
        <f>IF(AND(BM$9&gt;=$E25,BM$9&lt;=$F25),"■","")</f>
      </c>
      <c r="BN25" s="0">
        <f>IF(AND(BN$9&gt;=$E25,BN$9&lt;=$F25),"■","")</f>
      </c>
      <c r="BO25" s="0">
        <f>IF(AND(BO$9&gt;=$E25,BO$9&lt;=$F25),"■","")</f>
      </c>
      <c r="BP25" s="0">
        <f>IF(AND(BP$9&gt;=$E25,BP$9&lt;=$F25),"■","")</f>
      </c>
      <c r="BQ25" s="0">
        <f>IF(AND(BQ$9&gt;=$E25,BQ$9&lt;=$F25),"■","")</f>
      </c>
      <c r="BR25" s="0">
        <f>IF(AND(BR$9&gt;=$E25,BR$9&lt;=$F25),"■","")</f>
      </c>
      <c r="BS25" s="0">
        <f>IF(AND(BS$9&gt;=$E25,BS$9&lt;=$F25),"■","")</f>
      </c>
      <c r="BT25" s="0">
        <f>IF(AND(BT$9&gt;=$E25,BT$9&lt;=$F25),"■","")</f>
      </c>
      <c r="BU25" s="0">
        <f>IF(AND(BU$9&gt;=$E25,BU$9&lt;=$F25),"■","")</f>
      </c>
      <c r="BV25" s="0">
        <f>IF(AND(BV$9&gt;=$E25,BV$9&lt;=$F25),"■","")</f>
      </c>
      <c r="BW25" s="0">
        <f>IF(AND(BW$9&gt;=$E25,BW$9&lt;=$F25),"■","")</f>
      </c>
    </row>
    <row r="26">
      <c r="A26" s="0" t="inlineStr">
        <is>
          <t>P002-016</t>
        </is>
      </c>
      <c r="B26" s="0" t="inlineStr">
        <is>
          <t/>
        </is>
      </c>
      <c r="C26" s="0" t="inlineStr">
        <is>
          <t/>
        </is>
      </c>
      <c r="D26" s="0" t="inlineStr">
        <is>
          <t/>
        </is>
      </c>
      <c r="E26" s="0" t="inlineStr">
        <is>
          <t/>
        </is>
      </c>
      <c r="F26" s="0" t="inlineStr">
        <is>
          <t/>
        </is>
      </c>
      <c r="G26" s="0" t="inlineStr">
        <is>
          <t/>
        </is>
      </c>
      <c r="H26" s="0" t="inlineStr">
        <is>
          <t/>
        </is>
      </c>
      <c r="I26" s="0" t="inlineStr">
        <is>
          <t/>
        </is>
      </c>
      <c r="J26" s="0">
        <f>SUMIFS('Suivi Temps'!$D:$D,'Suivi Temps'!$A:$A,"P002-016")</f>
      </c>
      <c r="K26" s="0" t="inlineStr">
        <is>
          <t/>
        </is>
      </c>
      <c r="L26" s="0" t="inlineStr">
        <is>
          <t/>
        </is>
      </c>
      <c r="M26" s="0" t="inlineStr">
        <is>
          <t/>
        </is>
      </c>
      <c r="N26" s="0" t="inlineStr">
        <is>
          <t/>
        </is>
      </c>
      <c r="O26" s="0" t="inlineStr">
        <is>
          <t/>
        </is>
      </c>
      <c r="P26" s="0">
        <f>IF(AND(P$9&gt;=$E26,P$9&lt;=$F26),"■","")</f>
      </c>
      <c r="Q26" s="0">
        <f>IF(AND(Q$9&gt;=$E26,Q$9&lt;=$F26),"■","")</f>
      </c>
      <c r="R26" s="0">
        <f>IF(AND(R$9&gt;=$E26,R$9&lt;=$F26),"■","")</f>
      </c>
      <c r="S26" s="0">
        <f>IF(AND(S$9&gt;=$E26,S$9&lt;=$F26),"■","")</f>
      </c>
      <c r="T26" s="0">
        <f>IF(AND(T$9&gt;=$E26,T$9&lt;=$F26),"■","")</f>
      </c>
      <c r="U26" s="0">
        <f>IF(AND(U$9&gt;=$E26,U$9&lt;=$F26),"■","")</f>
      </c>
      <c r="V26" s="0">
        <f>IF(AND(V$9&gt;=$E26,V$9&lt;=$F26),"■","")</f>
      </c>
      <c r="W26" s="0">
        <f>IF(AND(W$9&gt;=$E26,W$9&lt;=$F26),"■","")</f>
      </c>
      <c r="X26" s="0">
        <f>IF(AND(X$9&gt;=$E26,X$9&lt;=$F26),"■","")</f>
      </c>
      <c r="Y26" s="0">
        <f>IF(AND(Y$9&gt;=$E26,Y$9&lt;=$F26),"■","")</f>
      </c>
      <c r="Z26" s="0">
        <f>IF(AND(Z$9&gt;=$E26,Z$9&lt;=$F26),"■","")</f>
      </c>
      <c r="AA26" s="0">
        <f>IF(AND(AA$9&gt;=$E26,AA$9&lt;=$F26),"■","")</f>
      </c>
      <c r="AB26" s="0">
        <f>IF(AND(AB$9&gt;=$E26,AB$9&lt;=$F26),"■","")</f>
      </c>
      <c r="AC26" s="0">
        <f>IF(AND(AC$9&gt;=$E26,AC$9&lt;=$F26),"■","")</f>
      </c>
      <c r="AD26" s="0">
        <f>IF(AND(AD$9&gt;=$E26,AD$9&lt;=$F26),"■","")</f>
      </c>
      <c r="AE26" s="0">
        <f>IF(AND(AE$9&gt;=$E26,AE$9&lt;=$F26),"■","")</f>
      </c>
      <c r="AF26" s="0">
        <f>IF(AND(AF$9&gt;=$E26,AF$9&lt;=$F26),"■","")</f>
      </c>
      <c r="AG26" s="0">
        <f>IF(AND(AG$9&gt;=$E26,AG$9&lt;=$F26),"■","")</f>
      </c>
      <c r="AH26" s="0">
        <f>IF(AND(AH$9&gt;=$E26,AH$9&lt;=$F26),"■","")</f>
      </c>
      <c r="AI26" s="0">
        <f>IF(AND(AI$9&gt;=$E26,AI$9&lt;=$F26),"■","")</f>
      </c>
      <c r="AJ26" s="0">
        <f>IF(AND(AJ$9&gt;=$E26,AJ$9&lt;=$F26),"■","")</f>
      </c>
      <c r="AK26" s="0">
        <f>IF(AND(AK$9&gt;=$E26,AK$9&lt;=$F26),"■","")</f>
      </c>
      <c r="AL26" s="0">
        <f>IF(AND(AL$9&gt;=$E26,AL$9&lt;=$F26),"■","")</f>
      </c>
      <c r="AM26" s="0">
        <f>IF(AND(AM$9&gt;=$E26,AM$9&lt;=$F26),"■","")</f>
      </c>
      <c r="AN26" s="0">
        <f>IF(AND(AN$9&gt;=$E26,AN$9&lt;=$F26),"■","")</f>
      </c>
      <c r="AO26" s="0">
        <f>IF(AND(AO$9&gt;=$E26,AO$9&lt;=$F26),"■","")</f>
      </c>
      <c r="AP26" s="0">
        <f>IF(AND(AP$9&gt;=$E26,AP$9&lt;=$F26),"■","")</f>
      </c>
      <c r="AQ26" s="0">
        <f>IF(AND(AQ$9&gt;=$E26,AQ$9&lt;=$F26),"■","")</f>
      </c>
      <c r="AR26" s="0">
        <f>IF(AND(AR$9&gt;=$E26,AR$9&lt;=$F26),"■","")</f>
      </c>
      <c r="AS26" s="0">
        <f>IF(AND(AS$9&gt;=$E26,AS$9&lt;=$F26),"■","")</f>
      </c>
      <c r="AT26" s="0">
        <f>IF(AND(AT$9&gt;=$E26,AT$9&lt;=$F26),"■","")</f>
      </c>
      <c r="AU26" s="0">
        <f>IF(AND(AU$9&gt;=$E26,AU$9&lt;=$F26),"■","")</f>
      </c>
      <c r="AV26" s="0">
        <f>IF(AND(AV$9&gt;=$E26,AV$9&lt;=$F26),"■","")</f>
      </c>
      <c r="AW26" s="0">
        <f>IF(AND(AW$9&gt;=$E26,AW$9&lt;=$F26),"■","")</f>
      </c>
      <c r="AX26" s="0">
        <f>IF(AND(AX$9&gt;=$E26,AX$9&lt;=$F26),"■","")</f>
      </c>
      <c r="AY26" s="0">
        <f>IF(AND(AY$9&gt;=$E26,AY$9&lt;=$F26),"■","")</f>
      </c>
      <c r="AZ26" s="0">
        <f>IF(AND(AZ$9&gt;=$E26,AZ$9&lt;=$F26),"■","")</f>
      </c>
      <c r="BA26" s="0">
        <f>IF(AND(BA$9&gt;=$E26,BA$9&lt;=$F26),"■","")</f>
      </c>
      <c r="BB26" s="0">
        <f>IF(AND(BB$9&gt;=$E26,BB$9&lt;=$F26),"■","")</f>
      </c>
      <c r="BC26" s="0">
        <f>IF(AND(BC$9&gt;=$E26,BC$9&lt;=$F26),"■","")</f>
      </c>
      <c r="BD26" s="0">
        <f>IF(AND(BD$9&gt;=$E26,BD$9&lt;=$F26),"■","")</f>
      </c>
      <c r="BE26" s="0">
        <f>IF(AND(BE$9&gt;=$E26,BE$9&lt;=$F26),"■","")</f>
      </c>
      <c r="BF26" s="0">
        <f>IF(AND(BF$9&gt;=$E26,BF$9&lt;=$F26),"■","")</f>
      </c>
      <c r="BG26" s="0">
        <f>IF(AND(BG$9&gt;=$E26,BG$9&lt;=$F26),"■","")</f>
      </c>
      <c r="BH26" s="0">
        <f>IF(AND(BH$9&gt;=$E26,BH$9&lt;=$F26),"■","")</f>
      </c>
      <c r="BI26" s="0">
        <f>IF(AND(BI$9&gt;=$E26,BI$9&lt;=$F26),"■","")</f>
      </c>
      <c r="BJ26" s="0">
        <f>IF(AND(BJ$9&gt;=$E26,BJ$9&lt;=$F26),"■","")</f>
      </c>
      <c r="BK26" s="0">
        <f>IF(AND(BK$9&gt;=$E26,BK$9&lt;=$F26),"■","")</f>
      </c>
      <c r="BL26" s="0">
        <f>IF(AND(BL$9&gt;=$E26,BL$9&lt;=$F26),"■","")</f>
      </c>
      <c r="BM26" s="0">
        <f>IF(AND(BM$9&gt;=$E26,BM$9&lt;=$F26),"■","")</f>
      </c>
      <c r="BN26" s="0">
        <f>IF(AND(BN$9&gt;=$E26,BN$9&lt;=$F26),"■","")</f>
      </c>
      <c r="BO26" s="0">
        <f>IF(AND(BO$9&gt;=$E26,BO$9&lt;=$F26),"■","")</f>
      </c>
      <c r="BP26" s="0">
        <f>IF(AND(BP$9&gt;=$E26,BP$9&lt;=$F26),"■","")</f>
      </c>
      <c r="BQ26" s="0">
        <f>IF(AND(BQ$9&gt;=$E26,BQ$9&lt;=$F26),"■","")</f>
      </c>
      <c r="BR26" s="0">
        <f>IF(AND(BR$9&gt;=$E26,BR$9&lt;=$F26),"■","")</f>
      </c>
      <c r="BS26" s="0">
        <f>IF(AND(BS$9&gt;=$E26,BS$9&lt;=$F26),"■","")</f>
      </c>
      <c r="BT26" s="0">
        <f>IF(AND(BT$9&gt;=$E26,BT$9&lt;=$F26),"■","")</f>
      </c>
      <c r="BU26" s="0">
        <f>IF(AND(BU$9&gt;=$E26,BU$9&lt;=$F26),"■","")</f>
      </c>
      <c r="BV26" s="0">
        <f>IF(AND(BV$9&gt;=$E26,BV$9&lt;=$F26),"■","")</f>
      </c>
      <c r="BW26" s="0">
        <f>IF(AND(BW$9&gt;=$E26,BW$9&lt;=$F26),"■","")</f>
      </c>
    </row>
    <row r="27">
      <c r="A27" s="0" t="inlineStr">
        <is>
          <t>P002-017</t>
        </is>
      </c>
      <c r="B27" s="0" t="inlineStr">
        <is>
          <t/>
        </is>
      </c>
      <c r="C27" s="0" t="inlineStr">
        <is>
          <t/>
        </is>
      </c>
      <c r="D27" s="0" t="inlineStr">
        <is>
          <t/>
        </is>
      </c>
      <c r="E27" s="0" t="inlineStr">
        <is>
          <t/>
        </is>
      </c>
      <c r="F27" s="0" t="inlineStr">
        <is>
          <t/>
        </is>
      </c>
      <c r="G27" s="0" t="inlineStr">
        <is>
          <t/>
        </is>
      </c>
      <c r="H27" s="0" t="inlineStr">
        <is>
          <t/>
        </is>
      </c>
      <c r="I27" s="0" t="inlineStr">
        <is>
          <t/>
        </is>
      </c>
      <c r="J27" s="0">
        <f>SUMIFS('Suivi Temps'!$D:$D,'Suivi Temps'!$A:$A,"P002-017")</f>
      </c>
      <c r="K27" s="0" t="inlineStr">
        <is>
          <t/>
        </is>
      </c>
      <c r="L27" s="0" t="inlineStr">
        <is>
          <t/>
        </is>
      </c>
      <c r="M27" s="0" t="inlineStr">
        <is>
          <t/>
        </is>
      </c>
      <c r="N27" s="0" t="inlineStr">
        <is>
          <t/>
        </is>
      </c>
      <c r="O27" s="0" t="inlineStr">
        <is>
          <t/>
        </is>
      </c>
      <c r="P27" s="0">
        <f>IF(AND(P$9&gt;=$E27,P$9&lt;=$F27),"■","")</f>
      </c>
      <c r="Q27" s="0">
        <f>IF(AND(Q$9&gt;=$E27,Q$9&lt;=$F27),"■","")</f>
      </c>
      <c r="R27" s="0">
        <f>IF(AND(R$9&gt;=$E27,R$9&lt;=$F27),"■","")</f>
      </c>
      <c r="S27" s="0">
        <f>IF(AND(S$9&gt;=$E27,S$9&lt;=$F27),"■","")</f>
      </c>
      <c r="T27" s="0">
        <f>IF(AND(T$9&gt;=$E27,T$9&lt;=$F27),"■","")</f>
      </c>
      <c r="U27" s="0">
        <f>IF(AND(U$9&gt;=$E27,U$9&lt;=$F27),"■","")</f>
      </c>
      <c r="V27" s="0">
        <f>IF(AND(V$9&gt;=$E27,V$9&lt;=$F27),"■","")</f>
      </c>
      <c r="W27" s="0">
        <f>IF(AND(W$9&gt;=$E27,W$9&lt;=$F27),"■","")</f>
      </c>
      <c r="X27" s="0">
        <f>IF(AND(X$9&gt;=$E27,X$9&lt;=$F27),"■","")</f>
      </c>
      <c r="Y27" s="0">
        <f>IF(AND(Y$9&gt;=$E27,Y$9&lt;=$F27),"■","")</f>
      </c>
      <c r="Z27" s="0">
        <f>IF(AND(Z$9&gt;=$E27,Z$9&lt;=$F27),"■","")</f>
      </c>
      <c r="AA27" s="0">
        <f>IF(AND(AA$9&gt;=$E27,AA$9&lt;=$F27),"■","")</f>
      </c>
      <c r="AB27" s="0">
        <f>IF(AND(AB$9&gt;=$E27,AB$9&lt;=$F27),"■","")</f>
      </c>
      <c r="AC27" s="0">
        <f>IF(AND(AC$9&gt;=$E27,AC$9&lt;=$F27),"■","")</f>
      </c>
      <c r="AD27" s="0">
        <f>IF(AND(AD$9&gt;=$E27,AD$9&lt;=$F27),"■","")</f>
      </c>
      <c r="AE27" s="0">
        <f>IF(AND(AE$9&gt;=$E27,AE$9&lt;=$F27),"■","")</f>
      </c>
      <c r="AF27" s="0">
        <f>IF(AND(AF$9&gt;=$E27,AF$9&lt;=$F27),"■","")</f>
      </c>
      <c r="AG27" s="0">
        <f>IF(AND(AG$9&gt;=$E27,AG$9&lt;=$F27),"■","")</f>
      </c>
      <c r="AH27" s="0">
        <f>IF(AND(AH$9&gt;=$E27,AH$9&lt;=$F27),"■","")</f>
      </c>
      <c r="AI27" s="0">
        <f>IF(AND(AI$9&gt;=$E27,AI$9&lt;=$F27),"■","")</f>
      </c>
      <c r="AJ27" s="0">
        <f>IF(AND(AJ$9&gt;=$E27,AJ$9&lt;=$F27),"■","")</f>
      </c>
      <c r="AK27" s="0">
        <f>IF(AND(AK$9&gt;=$E27,AK$9&lt;=$F27),"■","")</f>
      </c>
      <c r="AL27" s="0">
        <f>IF(AND(AL$9&gt;=$E27,AL$9&lt;=$F27),"■","")</f>
      </c>
      <c r="AM27" s="0">
        <f>IF(AND(AM$9&gt;=$E27,AM$9&lt;=$F27),"■","")</f>
      </c>
      <c r="AN27" s="0">
        <f>IF(AND(AN$9&gt;=$E27,AN$9&lt;=$F27),"■","")</f>
      </c>
      <c r="AO27" s="0">
        <f>IF(AND(AO$9&gt;=$E27,AO$9&lt;=$F27),"■","")</f>
      </c>
      <c r="AP27" s="0">
        <f>IF(AND(AP$9&gt;=$E27,AP$9&lt;=$F27),"■","")</f>
      </c>
      <c r="AQ27" s="0">
        <f>IF(AND(AQ$9&gt;=$E27,AQ$9&lt;=$F27),"■","")</f>
      </c>
      <c r="AR27" s="0">
        <f>IF(AND(AR$9&gt;=$E27,AR$9&lt;=$F27),"■","")</f>
      </c>
      <c r="AS27" s="0">
        <f>IF(AND(AS$9&gt;=$E27,AS$9&lt;=$F27),"■","")</f>
      </c>
      <c r="AT27" s="0">
        <f>IF(AND(AT$9&gt;=$E27,AT$9&lt;=$F27),"■","")</f>
      </c>
      <c r="AU27" s="0">
        <f>IF(AND(AU$9&gt;=$E27,AU$9&lt;=$F27),"■","")</f>
      </c>
      <c r="AV27" s="0">
        <f>IF(AND(AV$9&gt;=$E27,AV$9&lt;=$F27),"■","")</f>
      </c>
      <c r="AW27" s="0">
        <f>IF(AND(AW$9&gt;=$E27,AW$9&lt;=$F27),"■","")</f>
      </c>
      <c r="AX27" s="0">
        <f>IF(AND(AX$9&gt;=$E27,AX$9&lt;=$F27),"■","")</f>
      </c>
      <c r="AY27" s="0">
        <f>IF(AND(AY$9&gt;=$E27,AY$9&lt;=$F27),"■","")</f>
      </c>
      <c r="AZ27" s="0">
        <f>IF(AND(AZ$9&gt;=$E27,AZ$9&lt;=$F27),"■","")</f>
      </c>
      <c r="BA27" s="0">
        <f>IF(AND(BA$9&gt;=$E27,BA$9&lt;=$F27),"■","")</f>
      </c>
      <c r="BB27" s="0">
        <f>IF(AND(BB$9&gt;=$E27,BB$9&lt;=$F27),"■","")</f>
      </c>
      <c r="BC27" s="0">
        <f>IF(AND(BC$9&gt;=$E27,BC$9&lt;=$F27),"■","")</f>
      </c>
      <c r="BD27" s="0">
        <f>IF(AND(BD$9&gt;=$E27,BD$9&lt;=$F27),"■","")</f>
      </c>
      <c r="BE27" s="0">
        <f>IF(AND(BE$9&gt;=$E27,BE$9&lt;=$F27),"■","")</f>
      </c>
      <c r="BF27" s="0">
        <f>IF(AND(BF$9&gt;=$E27,BF$9&lt;=$F27),"■","")</f>
      </c>
      <c r="BG27" s="0">
        <f>IF(AND(BG$9&gt;=$E27,BG$9&lt;=$F27),"■","")</f>
      </c>
      <c r="BH27" s="0">
        <f>IF(AND(BH$9&gt;=$E27,BH$9&lt;=$F27),"■","")</f>
      </c>
      <c r="BI27" s="0">
        <f>IF(AND(BI$9&gt;=$E27,BI$9&lt;=$F27),"■","")</f>
      </c>
      <c r="BJ27" s="0">
        <f>IF(AND(BJ$9&gt;=$E27,BJ$9&lt;=$F27),"■","")</f>
      </c>
      <c r="BK27" s="0">
        <f>IF(AND(BK$9&gt;=$E27,BK$9&lt;=$F27),"■","")</f>
      </c>
      <c r="BL27" s="0">
        <f>IF(AND(BL$9&gt;=$E27,BL$9&lt;=$F27),"■","")</f>
      </c>
      <c r="BM27" s="0">
        <f>IF(AND(BM$9&gt;=$E27,BM$9&lt;=$F27),"■","")</f>
      </c>
      <c r="BN27" s="0">
        <f>IF(AND(BN$9&gt;=$E27,BN$9&lt;=$F27),"■","")</f>
      </c>
      <c r="BO27" s="0">
        <f>IF(AND(BO$9&gt;=$E27,BO$9&lt;=$F27),"■","")</f>
      </c>
      <c r="BP27" s="0">
        <f>IF(AND(BP$9&gt;=$E27,BP$9&lt;=$F27),"■","")</f>
      </c>
      <c r="BQ27" s="0">
        <f>IF(AND(BQ$9&gt;=$E27,BQ$9&lt;=$F27),"■","")</f>
      </c>
      <c r="BR27" s="0">
        <f>IF(AND(BR$9&gt;=$E27,BR$9&lt;=$F27),"■","")</f>
      </c>
      <c r="BS27" s="0">
        <f>IF(AND(BS$9&gt;=$E27,BS$9&lt;=$F27),"■","")</f>
      </c>
      <c r="BT27" s="0">
        <f>IF(AND(BT$9&gt;=$E27,BT$9&lt;=$F27),"■","")</f>
      </c>
      <c r="BU27" s="0">
        <f>IF(AND(BU$9&gt;=$E27,BU$9&lt;=$F27),"■","")</f>
      </c>
      <c r="BV27" s="0">
        <f>IF(AND(BV$9&gt;=$E27,BV$9&lt;=$F27),"■","")</f>
      </c>
      <c r="BW27" s="0">
        <f>IF(AND(BW$9&gt;=$E27,BW$9&lt;=$F27),"■","")</f>
      </c>
    </row>
    <row r="28">
      <c r="A28" s="0" t="inlineStr">
        <is>
          <t>P002-018</t>
        </is>
      </c>
      <c r="B28" s="0" t="inlineStr">
        <is>
          <t/>
        </is>
      </c>
      <c r="C28" s="0" t="inlineStr">
        <is>
          <t/>
        </is>
      </c>
      <c r="D28" s="0" t="inlineStr">
        <is>
          <t/>
        </is>
      </c>
      <c r="E28" s="0" t="inlineStr">
        <is>
          <t/>
        </is>
      </c>
      <c r="F28" s="0" t="inlineStr">
        <is>
          <t/>
        </is>
      </c>
      <c r="G28" s="0" t="inlineStr">
        <is>
          <t/>
        </is>
      </c>
      <c r="H28" s="0" t="inlineStr">
        <is>
          <t/>
        </is>
      </c>
      <c r="I28" s="0" t="inlineStr">
        <is>
          <t/>
        </is>
      </c>
      <c r="J28" s="0">
        <f>SUMIFS('Suivi Temps'!$D:$D,'Suivi Temps'!$A:$A,"P002-018")</f>
      </c>
      <c r="K28" s="0" t="inlineStr">
        <is>
          <t/>
        </is>
      </c>
      <c r="L28" s="0" t="inlineStr">
        <is>
          <t/>
        </is>
      </c>
      <c r="M28" s="0" t="inlineStr">
        <is>
          <t/>
        </is>
      </c>
      <c r="N28" s="0" t="inlineStr">
        <is>
          <t/>
        </is>
      </c>
      <c r="O28" s="0" t="inlineStr">
        <is>
          <t/>
        </is>
      </c>
      <c r="P28" s="0">
        <f>IF(AND(P$9&gt;=$E28,P$9&lt;=$F28),"■","")</f>
      </c>
      <c r="Q28" s="0">
        <f>IF(AND(Q$9&gt;=$E28,Q$9&lt;=$F28),"■","")</f>
      </c>
      <c r="R28" s="0">
        <f>IF(AND(R$9&gt;=$E28,R$9&lt;=$F28),"■","")</f>
      </c>
      <c r="S28" s="0">
        <f>IF(AND(S$9&gt;=$E28,S$9&lt;=$F28),"■","")</f>
      </c>
      <c r="T28" s="0">
        <f>IF(AND(T$9&gt;=$E28,T$9&lt;=$F28),"■","")</f>
      </c>
      <c r="U28" s="0">
        <f>IF(AND(U$9&gt;=$E28,U$9&lt;=$F28),"■","")</f>
      </c>
      <c r="V28" s="0">
        <f>IF(AND(V$9&gt;=$E28,V$9&lt;=$F28),"■","")</f>
      </c>
      <c r="W28" s="0">
        <f>IF(AND(W$9&gt;=$E28,W$9&lt;=$F28),"■","")</f>
      </c>
      <c r="X28" s="0">
        <f>IF(AND(X$9&gt;=$E28,X$9&lt;=$F28),"■","")</f>
      </c>
      <c r="Y28" s="0">
        <f>IF(AND(Y$9&gt;=$E28,Y$9&lt;=$F28),"■","")</f>
      </c>
      <c r="Z28" s="0">
        <f>IF(AND(Z$9&gt;=$E28,Z$9&lt;=$F28),"■","")</f>
      </c>
      <c r="AA28" s="0">
        <f>IF(AND(AA$9&gt;=$E28,AA$9&lt;=$F28),"■","")</f>
      </c>
      <c r="AB28" s="0">
        <f>IF(AND(AB$9&gt;=$E28,AB$9&lt;=$F28),"■","")</f>
      </c>
      <c r="AC28" s="0">
        <f>IF(AND(AC$9&gt;=$E28,AC$9&lt;=$F28),"■","")</f>
      </c>
      <c r="AD28" s="0">
        <f>IF(AND(AD$9&gt;=$E28,AD$9&lt;=$F28),"■","")</f>
      </c>
      <c r="AE28" s="0">
        <f>IF(AND(AE$9&gt;=$E28,AE$9&lt;=$F28),"■","")</f>
      </c>
      <c r="AF28" s="0">
        <f>IF(AND(AF$9&gt;=$E28,AF$9&lt;=$F28),"■","")</f>
      </c>
      <c r="AG28" s="0">
        <f>IF(AND(AG$9&gt;=$E28,AG$9&lt;=$F28),"■","")</f>
      </c>
      <c r="AH28" s="0">
        <f>IF(AND(AH$9&gt;=$E28,AH$9&lt;=$F28),"■","")</f>
      </c>
      <c r="AI28" s="0">
        <f>IF(AND(AI$9&gt;=$E28,AI$9&lt;=$F28),"■","")</f>
      </c>
      <c r="AJ28" s="0">
        <f>IF(AND(AJ$9&gt;=$E28,AJ$9&lt;=$F28),"■","")</f>
      </c>
      <c r="AK28" s="0">
        <f>IF(AND(AK$9&gt;=$E28,AK$9&lt;=$F28),"■","")</f>
      </c>
      <c r="AL28" s="0">
        <f>IF(AND(AL$9&gt;=$E28,AL$9&lt;=$F28),"■","")</f>
      </c>
      <c r="AM28" s="0">
        <f>IF(AND(AM$9&gt;=$E28,AM$9&lt;=$F28),"■","")</f>
      </c>
      <c r="AN28" s="0">
        <f>IF(AND(AN$9&gt;=$E28,AN$9&lt;=$F28),"■","")</f>
      </c>
      <c r="AO28" s="0">
        <f>IF(AND(AO$9&gt;=$E28,AO$9&lt;=$F28),"■","")</f>
      </c>
      <c r="AP28" s="0">
        <f>IF(AND(AP$9&gt;=$E28,AP$9&lt;=$F28),"■","")</f>
      </c>
      <c r="AQ28" s="0">
        <f>IF(AND(AQ$9&gt;=$E28,AQ$9&lt;=$F28),"■","")</f>
      </c>
      <c r="AR28" s="0">
        <f>IF(AND(AR$9&gt;=$E28,AR$9&lt;=$F28),"■","")</f>
      </c>
      <c r="AS28" s="0">
        <f>IF(AND(AS$9&gt;=$E28,AS$9&lt;=$F28),"■","")</f>
      </c>
      <c r="AT28" s="0">
        <f>IF(AND(AT$9&gt;=$E28,AT$9&lt;=$F28),"■","")</f>
      </c>
      <c r="AU28" s="0">
        <f>IF(AND(AU$9&gt;=$E28,AU$9&lt;=$F28),"■","")</f>
      </c>
      <c r="AV28" s="0">
        <f>IF(AND(AV$9&gt;=$E28,AV$9&lt;=$F28),"■","")</f>
      </c>
      <c r="AW28" s="0">
        <f>IF(AND(AW$9&gt;=$E28,AW$9&lt;=$F28),"■","")</f>
      </c>
      <c r="AX28" s="0">
        <f>IF(AND(AX$9&gt;=$E28,AX$9&lt;=$F28),"■","")</f>
      </c>
      <c r="AY28" s="0">
        <f>IF(AND(AY$9&gt;=$E28,AY$9&lt;=$F28),"■","")</f>
      </c>
      <c r="AZ28" s="0">
        <f>IF(AND(AZ$9&gt;=$E28,AZ$9&lt;=$F28),"■","")</f>
      </c>
      <c r="BA28" s="0">
        <f>IF(AND(BA$9&gt;=$E28,BA$9&lt;=$F28),"■","")</f>
      </c>
      <c r="BB28" s="0">
        <f>IF(AND(BB$9&gt;=$E28,BB$9&lt;=$F28),"■","")</f>
      </c>
      <c r="BC28" s="0">
        <f>IF(AND(BC$9&gt;=$E28,BC$9&lt;=$F28),"■","")</f>
      </c>
      <c r="BD28" s="0">
        <f>IF(AND(BD$9&gt;=$E28,BD$9&lt;=$F28),"■","")</f>
      </c>
      <c r="BE28" s="0">
        <f>IF(AND(BE$9&gt;=$E28,BE$9&lt;=$F28),"■","")</f>
      </c>
      <c r="BF28" s="0">
        <f>IF(AND(BF$9&gt;=$E28,BF$9&lt;=$F28),"■","")</f>
      </c>
      <c r="BG28" s="0">
        <f>IF(AND(BG$9&gt;=$E28,BG$9&lt;=$F28),"■","")</f>
      </c>
      <c r="BH28" s="0">
        <f>IF(AND(BH$9&gt;=$E28,BH$9&lt;=$F28),"■","")</f>
      </c>
      <c r="BI28" s="0">
        <f>IF(AND(BI$9&gt;=$E28,BI$9&lt;=$F28),"■","")</f>
      </c>
      <c r="BJ28" s="0">
        <f>IF(AND(BJ$9&gt;=$E28,BJ$9&lt;=$F28),"■","")</f>
      </c>
      <c r="BK28" s="0">
        <f>IF(AND(BK$9&gt;=$E28,BK$9&lt;=$F28),"■","")</f>
      </c>
      <c r="BL28" s="0">
        <f>IF(AND(BL$9&gt;=$E28,BL$9&lt;=$F28),"■","")</f>
      </c>
      <c r="BM28" s="0">
        <f>IF(AND(BM$9&gt;=$E28,BM$9&lt;=$F28),"■","")</f>
      </c>
      <c r="BN28" s="0">
        <f>IF(AND(BN$9&gt;=$E28,BN$9&lt;=$F28),"■","")</f>
      </c>
      <c r="BO28" s="0">
        <f>IF(AND(BO$9&gt;=$E28,BO$9&lt;=$F28),"■","")</f>
      </c>
      <c r="BP28" s="0">
        <f>IF(AND(BP$9&gt;=$E28,BP$9&lt;=$F28),"■","")</f>
      </c>
      <c r="BQ28" s="0">
        <f>IF(AND(BQ$9&gt;=$E28,BQ$9&lt;=$F28),"■","")</f>
      </c>
      <c r="BR28" s="0">
        <f>IF(AND(BR$9&gt;=$E28,BR$9&lt;=$F28),"■","")</f>
      </c>
      <c r="BS28" s="0">
        <f>IF(AND(BS$9&gt;=$E28,BS$9&lt;=$F28),"■","")</f>
      </c>
      <c r="BT28" s="0">
        <f>IF(AND(BT$9&gt;=$E28,BT$9&lt;=$F28),"■","")</f>
      </c>
      <c r="BU28" s="0">
        <f>IF(AND(BU$9&gt;=$E28,BU$9&lt;=$F28),"■","")</f>
      </c>
      <c r="BV28" s="0">
        <f>IF(AND(BV$9&gt;=$E28,BV$9&lt;=$F28),"■","")</f>
      </c>
      <c r="BW28" s="0">
        <f>IF(AND(BW$9&gt;=$E28,BW$9&lt;=$F28),"■","")</f>
      </c>
    </row>
    <row r="29">
      <c r="A29" s="0" t="inlineStr">
        <is>
          <t>P002-019</t>
        </is>
      </c>
      <c r="B29" s="0" t="inlineStr">
        <is>
          <t/>
        </is>
      </c>
      <c r="C29" s="0" t="inlineStr">
        <is>
          <t/>
        </is>
      </c>
      <c r="D29" s="0" t="inlineStr">
        <is>
          <t/>
        </is>
      </c>
      <c r="E29" s="0" t="inlineStr">
        <is>
          <t/>
        </is>
      </c>
      <c r="F29" s="0" t="inlineStr">
        <is>
          <t/>
        </is>
      </c>
      <c r="G29" s="0" t="inlineStr">
        <is>
          <t/>
        </is>
      </c>
      <c r="H29" s="0" t="inlineStr">
        <is>
          <t/>
        </is>
      </c>
      <c r="I29" s="0" t="inlineStr">
        <is>
          <t/>
        </is>
      </c>
      <c r="J29" s="0">
        <f>SUMIFS('Suivi Temps'!$D:$D,'Suivi Temps'!$A:$A,"P002-019")</f>
      </c>
      <c r="K29" s="0" t="inlineStr">
        <is>
          <t/>
        </is>
      </c>
      <c r="L29" s="0" t="inlineStr">
        <is>
          <t/>
        </is>
      </c>
      <c r="M29" s="0" t="inlineStr">
        <is>
          <t/>
        </is>
      </c>
      <c r="N29" s="0" t="inlineStr">
        <is>
          <t/>
        </is>
      </c>
      <c r="O29" s="0" t="inlineStr">
        <is>
          <t/>
        </is>
      </c>
      <c r="P29" s="0">
        <f>IF(AND(P$9&gt;=$E29,P$9&lt;=$F29),"■","")</f>
      </c>
      <c r="Q29" s="0">
        <f>IF(AND(Q$9&gt;=$E29,Q$9&lt;=$F29),"■","")</f>
      </c>
      <c r="R29" s="0">
        <f>IF(AND(R$9&gt;=$E29,R$9&lt;=$F29),"■","")</f>
      </c>
      <c r="S29" s="0">
        <f>IF(AND(S$9&gt;=$E29,S$9&lt;=$F29),"■","")</f>
      </c>
      <c r="T29" s="0">
        <f>IF(AND(T$9&gt;=$E29,T$9&lt;=$F29),"■","")</f>
      </c>
      <c r="U29" s="0">
        <f>IF(AND(U$9&gt;=$E29,U$9&lt;=$F29),"■","")</f>
      </c>
      <c r="V29" s="0">
        <f>IF(AND(V$9&gt;=$E29,V$9&lt;=$F29),"■","")</f>
      </c>
      <c r="W29" s="0">
        <f>IF(AND(W$9&gt;=$E29,W$9&lt;=$F29),"■","")</f>
      </c>
      <c r="X29" s="0">
        <f>IF(AND(X$9&gt;=$E29,X$9&lt;=$F29),"■","")</f>
      </c>
      <c r="Y29" s="0">
        <f>IF(AND(Y$9&gt;=$E29,Y$9&lt;=$F29),"■","")</f>
      </c>
      <c r="Z29" s="0">
        <f>IF(AND(Z$9&gt;=$E29,Z$9&lt;=$F29),"■","")</f>
      </c>
      <c r="AA29" s="0">
        <f>IF(AND(AA$9&gt;=$E29,AA$9&lt;=$F29),"■","")</f>
      </c>
      <c r="AB29" s="0">
        <f>IF(AND(AB$9&gt;=$E29,AB$9&lt;=$F29),"■","")</f>
      </c>
      <c r="AC29" s="0">
        <f>IF(AND(AC$9&gt;=$E29,AC$9&lt;=$F29),"■","")</f>
      </c>
      <c r="AD29" s="0">
        <f>IF(AND(AD$9&gt;=$E29,AD$9&lt;=$F29),"■","")</f>
      </c>
      <c r="AE29" s="0">
        <f>IF(AND(AE$9&gt;=$E29,AE$9&lt;=$F29),"■","")</f>
      </c>
      <c r="AF29" s="0">
        <f>IF(AND(AF$9&gt;=$E29,AF$9&lt;=$F29),"■","")</f>
      </c>
      <c r="AG29" s="0">
        <f>IF(AND(AG$9&gt;=$E29,AG$9&lt;=$F29),"■","")</f>
      </c>
      <c r="AH29" s="0">
        <f>IF(AND(AH$9&gt;=$E29,AH$9&lt;=$F29),"■","")</f>
      </c>
      <c r="AI29" s="0">
        <f>IF(AND(AI$9&gt;=$E29,AI$9&lt;=$F29),"■","")</f>
      </c>
      <c r="AJ29" s="0">
        <f>IF(AND(AJ$9&gt;=$E29,AJ$9&lt;=$F29),"■","")</f>
      </c>
      <c r="AK29" s="0">
        <f>IF(AND(AK$9&gt;=$E29,AK$9&lt;=$F29),"■","")</f>
      </c>
      <c r="AL29" s="0">
        <f>IF(AND(AL$9&gt;=$E29,AL$9&lt;=$F29),"■","")</f>
      </c>
      <c r="AM29" s="0">
        <f>IF(AND(AM$9&gt;=$E29,AM$9&lt;=$F29),"■","")</f>
      </c>
      <c r="AN29" s="0">
        <f>IF(AND(AN$9&gt;=$E29,AN$9&lt;=$F29),"■","")</f>
      </c>
      <c r="AO29" s="0">
        <f>IF(AND(AO$9&gt;=$E29,AO$9&lt;=$F29),"■","")</f>
      </c>
      <c r="AP29" s="0">
        <f>IF(AND(AP$9&gt;=$E29,AP$9&lt;=$F29),"■","")</f>
      </c>
      <c r="AQ29" s="0">
        <f>IF(AND(AQ$9&gt;=$E29,AQ$9&lt;=$F29),"■","")</f>
      </c>
      <c r="AR29" s="0">
        <f>IF(AND(AR$9&gt;=$E29,AR$9&lt;=$F29),"■","")</f>
      </c>
      <c r="AS29" s="0">
        <f>IF(AND(AS$9&gt;=$E29,AS$9&lt;=$F29),"■","")</f>
      </c>
      <c r="AT29" s="0">
        <f>IF(AND(AT$9&gt;=$E29,AT$9&lt;=$F29),"■","")</f>
      </c>
      <c r="AU29" s="0">
        <f>IF(AND(AU$9&gt;=$E29,AU$9&lt;=$F29),"■","")</f>
      </c>
      <c r="AV29" s="0">
        <f>IF(AND(AV$9&gt;=$E29,AV$9&lt;=$F29),"■","")</f>
      </c>
      <c r="AW29" s="0">
        <f>IF(AND(AW$9&gt;=$E29,AW$9&lt;=$F29),"■","")</f>
      </c>
      <c r="AX29" s="0">
        <f>IF(AND(AX$9&gt;=$E29,AX$9&lt;=$F29),"■","")</f>
      </c>
      <c r="AY29" s="0">
        <f>IF(AND(AY$9&gt;=$E29,AY$9&lt;=$F29),"■","")</f>
      </c>
      <c r="AZ29" s="0">
        <f>IF(AND(AZ$9&gt;=$E29,AZ$9&lt;=$F29),"■","")</f>
      </c>
      <c r="BA29" s="0">
        <f>IF(AND(BA$9&gt;=$E29,BA$9&lt;=$F29),"■","")</f>
      </c>
      <c r="BB29" s="0">
        <f>IF(AND(BB$9&gt;=$E29,BB$9&lt;=$F29),"■","")</f>
      </c>
      <c r="BC29" s="0">
        <f>IF(AND(BC$9&gt;=$E29,BC$9&lt;=$F29),"■","")</f>
      </c>
      <c r="BD29" s="0">
        <f>IF(AND(BD$9&gt;=$E29,BD$9&lt;=$F29),"■","")</f>
      </c>
      <c r="BE29" s="0">
        <f>IF(AND(BE$9&gt;=$E29,BE$9&lt;=$F29),"■","")</f>
      </c>
      <c r="BF29" s="0">
        <f>IF(AND(BF$9&gt;=$E29,BF$9&lt;=$F29),"■","")</f>
      </c>
      <c r="BG29" s="0">
        <f>IF(AND(BG$9&gt;=$E29,BG$9&lt;=$F29),"■","")</f>
      </c>
      <c r="BH29" s="0">
        <f>IF(AND(BH$9&gt;=$E29,BH$9&lt;=$F29),"■","")</f>
      </c>
      <c r="BI29" s="0">
        <f>IF(AND(BI$9&gt;=$E29,BI$9&lt;=$F29),"■","")</f>
      </c>
      <c r="BJ29" s="0">
        <f>IF(AND(BJ$9&gt;=$E29,BJ$9&lt;=$F29),"■","")</f>
      </c>
      <c r="BK29" s="0">
        <f>IF(AND(BK$9&gt;=$E29,BK$9&lt;=$F29),"■","")</f>
      </c>
      <c r="BL29" s="0">
        <f>IF(AND(BL$9&gt;=$E29,BL$9&lt;=$F29),"■","")</f>
      </c>
      <c r="BM29" s="0">
        <f>IF(AND(BM$9&gt;=$E29,BM$9&lt;=$F29),"■","")</f>
      </c>
      <c r="BN29" s="0">
        <f>IF(AND(BN$9&gt;=$E29,BN$9&lt;=$F29),"■","")</f>
      </c>
      <c r="BO29" s="0">
        <f>IF(AND(BO$9&gt;=$E29,BO$9&lt;=$F29),"■","")</f>
      </c>
      <c r="BP29" s="0">
        <f>IF(AND(BP$9&gt;=$E29,BP$9&lt;=$F29),"■","")</f>
      </c>
      <c r="BQ29" s="0">
        <f>IF(AND(BQ$9&gt;=$E29,BQ$9&lt;=$F29),"■","")</f>
      </c>
      <c r="BR29" s="0">
        <f>IF(AND(BR$9&gt;=$E29,BR$9&lt;=$F29),"■","")</f>
      </c>
      <c r="BS29" s="0">
        <f>IF(AND(BS$9&gt;=$E29,BS$9&lt;=$F29),"■","")</f>
      </c>
      <c r="BT29" s="0">
        <f>IF(AND(BT$9&gt;=$E29,BT$9&lt;=$F29),"■","")</f>
      </c>
      <c r="BU29" s="0">
        <f>IF(AND(BU$9&gt;=$E29,BU$9&lt;=$F29),"■","")</f>
      </c>
      <c r="BV29" s="0">
        <f>IF(AND(BV$9&gt;=$E29,BV$9&lt;=$F29),"■","")</f>
      </c>
      <c r="BW29" s="0">
        <f>IF(AND(BW$9&gt;=$E29,BW$9&lt;=$F29),"■","")</f>
      </c>
    </row>
    <row r="30">
      <c r="A30" s="0" t="inlineStr">
        <is>
          <t>P002-020</t>
        </is>
      </c>
      <c r="B30" s="0" t="inlineStr">
        <is>
          <t/>
        </is>
      </c>
      <c r="C30" s="0" t="inlineStr">
        <is>
          <t/>
        </is>
      </c>
      <c r="D30" s="0" t="inlineStr">
        <is>
          <t/>
        </is>
      </c>
      <c r="E30" s="0" t="inlineStr">
        <is>
          <t/>
        </is>
      </c>
      <c r="F30" s="0" t="inlineStr">
        <is>
          <t/>
        </is>
      </c>
      <c r="G30" s="0" t="inlineStr">
        <is>
          <t/>
        </is>
      </c>
      <c r="H30" s="0" t="inlineStr">
        <is>
          <t/>
        </is>
      </c>
      <c r="I30" s="0" t="inlineStr">
        <is>
          <t/>
        </is>
      </c>
      <c r="J30" s="0">
        <f>SUMIFS('Suivi Temps'!$D:$D,'Suivi Temps'!$A:$A,"P002-020")</f>
      </c>
      <c r="K30" s="0" t="inlineStr">
        <is>
          <t/>
        </is>
      </c>
      <c r="L30" s="0" t="inlineStr">
        <is>
          <t/>
        </is>
      </c>
      <c r="M30" s="0" t="inlineStr">
        <is>
          <t/>
        </is>
      </c>
      <c r="N30" s="0" t="inlineStr">
        <is>
          <t/>
        </is>
      </c>
      <c r="O30" s="0" t="inlineStr">
        <is>
          <t/>
        </is>
      </c>
      <c r="P30" s="0">
        <f>IF(AND(P$9&gt;=$E30,P$9&lt;=$F30),"■","")</f>
      </c>
      <c r="Q30" s="0">
        <f>IF(AND(Q$9&gt;=$E30,Q$9&lt;=$F30),"■","")</f>
      </c>
      <c r="R30" s="0">
        <f>IF(AND(R$9&gt;=$E30,R$9&lt;=$F30),"■","")</f>
      </c>
      <c r="S30" s="0">
        <f>IF(AND(S$9&gt;=$E30,S$9&lt;=$F30),"■","")</f>
      </c>
      <c r="T30" s="0">
        <f>IF(AND(T$9&gt;=$E30,T$9&lt;=$F30),"■","")</f>
      </c>
      <c r="U30" s="0">
        <f>IF(AND(U$9&gt;=$E30,U$9&lt;=$F30),"■","")</f>
      </c>
      <c r="V30" s="0">
        <f>IF(AND(V$9&gt;=$E30,V$9&lt;=$F30),"■","")</f>
      </c>
      <c r="W30" s="0">
        <f>IF(AND(W$9&gt;=$E30,W$9&lt;=$F30),"■","")</f>
      </c>
      <c r="X30" s="0">
        <f>IF(AND(X$9&gt;=$E30,X$9&lt;=$F30),"■","")</f>
      </c>
      <c r="Y30" s="0">
        <f>IF(AND(Y$9&gt;=$E30,Y$9&lt;=$F30),"■","")</f>
      </c>
      <c r="Z30" s="0">
        <f>IF(AND(Z$9&gt;=$E30,Z$9&lt;=$F30),"■","")</f>
      </c>
      <c r="AA30" s="0">
        <f>IF(AND(AA$9&gt;=$E30,AA$9&lt;=$F30),"■","")</f>
      </c>
      <c r="AB30" s="0">
        <f>IF(AND(AB$9&gt;=$E30,AB$9&lt;=$F30),"■","")</f>
      </c>
      <c r="AC30" s="0">
        <f>IF(AND(AC$9&gt;=$E30,AC$9&lt;=$F30),"■","")</f>
      </c>
      <c r="AD30" s="0">
        <f>IF(AND(AD$9&gt;=$E30,AD$9&lt;=$F30),"■","")</f>
      </c>
      <c r="AE30" s="0">
        <f>IF(AND(AE$9&gt;=$E30,AE$9&lt;=$F30),"■","")</f>
      </c>
      <c r="AF30" s="0">
        <f>IF(AND(AF$9&gt;=$E30,AF$9&lt;=$F30),"■","")</f>
      </c>
      <c r="AG30" s="0">
        <f>IF(AND(AG$9&gt;=$E30,AG$9&lt;=$F30),"■","")</f>
      </c>
      <c r="AH30" s="0">
        <f>IF(AND(AH$9&gt;=$E30,AH$9&lt;=$F30),"■","")</f>
      </c>
      <c r="AI30" s="0">
        <f>IF(AND(AI$9&gt;=$E30,AI$9&lt;=$F30),"■","")</f>
      </c>
      <c r="AJ30" s="0">
        <f>IF(AND(AJ$9&gt;=$E30,AJ$9&lt;=$F30),"■","")</f>
      </c>
      <c r="AK30" s="0">
        <f>IF(AND(AK$9&gt;=$E30,AK$9&lt;=$F30),"■","")</f>
      </c>
      <c r="AL30" s="0">
        <f>IF(AND(AL$9&gt;=$E30,AL$9&lt;=$F30),"■","")</f>
      </c>
      <c r="AM30" s="0">
        <f>IF(AND(AM$9&gt;=$E30,AM$9&lt;=$F30),"■","")</f>
      </c>
      <c r="AN30" s="0">
        <f>IF(AND(AN$9&gt;=$E30,AN$9&lt;=$F30),"■","")</f>
      </c>
      <c r="AO30" s="0">
        <f>IF(AND(AO$9&gt;=$E30,AO$9&lt;=$F30),"■","")</f>
      </c>
      <c r="AP30" s="0">
        <f>IF(AND(AP$9&gt;=$E30,AP$9&lt;=$F30),"■","")</f>
      </c>
      <c r="AQ30" s="0">
        <f>IF(AND(AQ$9&gt;=$E30,AQ$9&lt;=$F30),"■","")</f>
      </c>
      <c r="AR30" s="0">
        <f>IF(AND(AR$9&gt;=$E30,AR$9&lt;=$F30),"■","")</f>
      </c>
      <c r="AS30" s="0">
        <f>IF(AND(AS$9&gt;=$E30,AS$9&lt;=$F30),"■","")</f>
      </c>
      <c r="AT30" s="0">
        <f>IF(AND(AT$9&gt;=$E30,AT$9&lt;=$F30),"■","")</f>
      </c>
      <c r="AU30" s="0">
        <f>IF(AND(AU$9&gt;=$E30,AU$9&lt;=$F30),"■","")</f>
      </c>
      <c r="AV30" s="0">
        <f>IF(AND(AV$9&gt;=$E30,AV$9&lt;=$F30),"■","")</f>
      </c>
      <c r="AW30" s="0">
        <f>IF(AND(AW$9&gt;=$E30,AW$9&lt;=$F30),"■","")</f>
      </c>
      <c r="AX30" s="0">
        <f>IF(AND(AX$9&gt;=$E30,AX$9&lt;=$F30),"■","")</f>
      </c>
      <c r="AY30" s="0">
        <f>IF(AND(AY$9&gt;=$E30,AY$9&lt;=$F30),"■","")</f>
      </c>
      <c r="AZ30" s="0">
        <f>IF(AND(AZ$9&gt;=$E30,AZ$9&lt;=$F30),"■","")</f>
      </c>
      <c r="BA30" s="0">
        <f>IF(AND(BA$9&gt;=$E30,BA$9&lt;=$F30),"■","")</f>
      </c>
      <c r="BB30" s="0">
        <f>IF(AND(BB$9&gt;=$E30,BB$9&lt;=$F30),"■","")</f>
      </c>
      <c r="BC30" s="0">
        <f>IF(AND(BC$9&gt;=$E30,BC$9&lt;=$F30),"■","")</f>
      </c>
      <c r="BD30" s="0">
        <f>IF(AND(BD$9&gt;=$E30,BD$9&lt;=$F30),"■","")</f>
      </c>
      <c r="BE30" s="0">
        <f>IF(AND(BE$9&gt;=$E30,BE$9&lt;=$F30),"■","")</f>
      </c>
      <c r="BF30" s="0">
        <f>IF(AND(BF$9&gt;=$E30,BF$9&lt;=$F30),"■","")</f>
      </c>
      <c r="BG30" s="0">
        <f>IF(AND(BG$9&gt;=$E30,BG$9&lt;=$F30),"■","")</f>
      </c>
      <c r="BH30" s="0">
        <f>IF(AND(BH$9&gt;=$E30,BH$9&lt;=$F30),"■","")</f>
      </c>
      <c r="BI30" s="0">
        <f>IF(AND(BI$9&gt;=$E30,BI$9&lt;=$F30),"■","")</f>
      </c>
      <c r="BJ30" s="0">
        <f>IF(AND(BJ$9&gt;=$E30,BJ$9&lt;=$F30),"■","")</f>
      </c>
      <c r="BK30" s="0">
        <f>IF(AND(BK$9&gt;=$E30,BK$9&lt;=$F30),"■","")</f>
      </c>
      <c r="BL30" s="0">
        <f>IF(AND(BL$9&gt;=$E30,BL$9&lt;=$F30),"■","")</f>
      </c>
      <c r="BM30" s="0">
        <f>IF(AND(BM$9&gt;=$E30,BM$9&lt;=$F30),"■","")</f>
      </c>
      <c r="BN30" s="0">
        <f>IF(AND(BN$9&gt;=$E30,BN$9&lt;=$F30),"■","")</f>
      </c>
      <c r="BO30" s="0">
        <f>IF(AND(BO$9&gt;=$E30,BO$9&lt;=$F30),"■","")</f>
      </c>
      <c r="BP30" s="0">
        <f>IF(AND(BP$9&gt;=$E30,BP$9&lt;=$F30),"■","")</f>
      </c>
      <c r="BQ30" s="0">
        <f>IF(AND(BQ$9&gt;=$E30,BQ$9&lt;=$F30),"■","")</f>
      </c>
      <c r="BR30" s="0">
        <f>IF(AND(BR$9&gt;=$E30,BR$9&lt;=$F30),"■","")</f>
      </c>
      <c r="BS30" s="0">
        <f>IF(AND(BS$9&gt;=$E30,BS$9&lt;=$F30),"■","")</f>
      </c>
      <c r="BT30" s="0">
        <f>IF(AND(BT$9&gt;=$E30,BT$9&lt;=$F30),"■","")</f>
      </c>
      <c r="BU30" s="0">
        <f>IF(AND(BU$9&gt;=$E30,BU$9&lt;=$F30),"■","")</f>
      </c>
      <c r="BV30" s="0">
        <f>IF(AND(BV$9&gt;=$E30,BV$9&lt;=$F30),"■","")</f>
      </c>
      <c r="BW30" s="0">
        <f>IF(AND(BW$9&gt;=$E30,BW$9&lt;=$F30),"■","")</f>
      </c>
    </row>
    <row r="31">
      <c r="A31" s="0" t="inlineStr">
        <is>
          <t>P002-021</t>
        </is>
      </c>
      <c r="B31" s="0" t="inlineStr">
        <is>
          <t/>
        </is>
      </c>
      <c r="C31" s="0" t="inlineStr">
        <is>
          <t/>
        </is>
      </c>
      <c r="D31" s="0" t="inlineStr">
        <is>
          <t/>
        </is>
      </c>
      <c r="E31" s="0" t="inlineStr">
        <is>
          <t/>
        </is>
      </c>
      <c r="F31" s="0" t="inlineStr">
        <is>
          <t/>
        </is>
      </c>
      <c r="G31" s="0" t="inlineStr">
        <is>
          <t/>
        </is>
      </c>
      <c r="H31" s="0" t="inlineStr">
        <is>
          <t/>
        </is>
      </c>
      <c r="I31" s="0" t="inlineStr">
        <is>
          <t/>
        </is>
      </c>
      <c r="J31" s="0">
        <f>SUMIFS('Suivi Temps'!$D:$D,'Suivi Temps'!$A:$A,"P002-021")</f>
      </c>
      <c r="K31" s="0" t="inlineStr">
        <is>
          <t/>
        </is>
      </c>
      <c r="L31" s="0" t="inlineStr">
        <is>
          <t/>
        </is>
      </c>
      <c r="M31" s="0" t="inlineStr">
        <is>
          <t/>
        </is>
      </c>
      <c r="N31" s="0" t="inlineStr">
        <is>
          <t/>
        </is>
      </c>
      <c r="O31" s="0" t="inlineStr">
        <is>
          <t/>
        </is>
      </c>
      <c r="P31" s="0">
        <f>IF(AND(P$9&gt;=$E31,P$9&lt;=$F31),"■","")</f>
      </c>
      <c r="Q31" s="0">
        <f>IF(AND(Q$9&gt;=$E31,Q$9&lt;=$F31),"■","")</f>
      </c>
      <c r="R31" s="0">
        <f>IF(AND(R$9&gt;=$E31,R$9&lt;=$F31),"■","")</f>
      </c>
      <c r="S31" s="0">
        <f>IF(AND(S$9&gt;=$E31,S$9&lt;=$F31),"■","")</f>
      </c>
      <c r="T31" s="0">
        <f>IF(AND(T$9&gt;=$E31,T$9&lt;=$F31),"■","")</f>
      </c>
      <c r="U31" s="0">
        <f>IF(AND(U$9&gt;=$E31,U$9&lt;=$F31),"■","")</f>
      </c>
      <c r="V31" s="0">
        <f>IF(AND(V$9&gt;=$E31,V$9&lt;=$F31),"■","")</f>
      </c>
      <c r="W31" s="0">
        <f>IF(AND(W$9&gt;=$E31,W$9&lt;=$F31),"■","")</f>
      </c>
      <c r="X31" s="0">
        <f>IF(AND(X$9&gt;=$E31,X$9&lt;=$F31),"■","")</f>
      </c>
      <c r="Y31" s="0">
        <f>IF(AND(Y$9&gt;=$E31,Y$9&lt;=$F31),"■","")</f>
      </c>
      <c r="Z31" s="0">
        <f>IF(AND(Z$9&gt;=$E31,Z$9&lt;=$F31),"■","")</f>
      </c>
      <c r="AA31" s="0">
        <f>IF(AND(AA$9&gt;=$E31,AA$9&lt;=$F31),"■","")</f>
      </c>
      <c r="AB31" s="0">
        <f>IF(AND(AB$9&gt;=$E31,AB$9&lt;=$F31),"■","")</f>
      </c>
      <c r="AC31" s="0">
        <f>IF(AND(AC$9&gt;=$E31,AC$9&lt;=$F31),"■","")</f>
      </c>
      <c r="AD31" s="0">
        <f>IF(AND(AD$9&gt;=$E31,AD$9&lt;=$F31),"■","")</f>
      </c>
      <c r="AE31" s="0">
        <f>IF(AND(AE$9&gt;=$E31,AE$9&lt;=$F31),"■","")</f>
      </c>
      <c r="AF31" s="0">
        <f>IF(AND(AF$9&gt;=$E31,AF$9&lt;=$F31),"■","")</f>
      </c>
      <c r="AG31" s="0">
        <f>IF(AND(AG$9&gt;=$E31,AG$9&lt;=$F31),"■","")</f>
      </c>
      <c r="AH31" s="0">
        <f>IF(AND(AH$9&gt;=$E31,AH$9&lt;=$F31),"■","")</f>
      </c>
      <c r="AI31" s="0">
        <f>IF(AND(AI$9&gt;=$E31,AI$9&lt;=$F31),"■","")</f>
      </c>
      <c r="AJ31" s="0">
        <f>IF(AND(AJ$9&gt;=$E31,AJ$9&lt;=$F31),"■","")</f>
      </c>
      <c r="AK31" s="0">
        <f>IF(AND(AK$9&gt;=$E31,AK$9&lt;=$F31),"■","")</f>
      </c>
      <c r="AL31" s="0">
        <f>IF(AND(AL$9&gt;=$E31,AL$9&lt;=$F31),"■","")</f>
      </c>
      <c r="AM31" s="0">
        <f>IF(AND(AM$9&gt;=$E31,AM$9&lt;=$F31),"■","")</f>
      </c>
      <c r="AN31" s="0">
        <f>IF(AND(AN$9&gt;=$E31,AN$9&lt;=$F31),"■","")</f>
      </c>
      <c r="AO31" s="0">
        <f>IF(AND(AO$9&gt;=$E31,AO$9&lt;=$F31),"■","")</f>
      </c>
      <c r="AP31" s="0">
        <f>IF(AND(AP$9&gt;=$E31,AP$9&lt;=$F31),"■","")</f>
      </c>
      <c r="AQ31" s="0">
        <f>IF(AND(AQ$9&gt;=$E31,AQ$9&lt;=$F31),"■","")</f>
      </c>
      <c r="AR31" s="0">
        <f>IF(AND(AR$9&gt;=$E31,AR$9&lt;=$F31),"■","")</f>
      </c>
      <c r="AS31" s="0">
        <f>IF(AND(AS$9&gt;=$E31,AS$9&lt;=$F31),"■","")</f>
      </c>
      <c r="AT31" s="0">
        <f>IF(AND(AT$9&gt;=$E31,AT$9&lt;=$F31),"■","")</f>
      </c>
      <c r="AU31" s="0">
        <f>IF(AND(AU$9&gt;=$E31,AU$9&lt;=$F31),"■","")</f>
      </c>
      <c r="AV31" s="0">
        <f>IF(AND(AV$9&gt;=$E31,AV$9&lt;=$F31),"■","")</f>
      </c>
      <c r="AW31" s="0">
        <f>IF(AND(AW$9&gt;=$E31,AW$9&lt;=$F31),"■","")</f>
      </c>
      <c r="AX31" s="0">
        <f>IF(AND(AX$9&gt;=$E31,AX$9&lt;=$F31),"■","")</f>
      </c>
      <c r="AY31" s="0">
        <f>IF(AND(AY$9&gt;=$E31,AY$9&lt;=$F31),"■","")</f>
      </c>
      <c r="AZ31" s="0">
        <f>IF(AND(AZ$9&gt;=$E31,AZ$9&lt;=$F31),"■","")</f>
      </c>
      <c r="BA31" s="0">
        <f>IF(AND(BA$9&gt;=$E31,BA$9&lt;=$F31),"■","")</f>
      </c>
      <c r="BB31" s="0">
        <f>IF(AND(BB$9&gt;=$E31,BB$9&lt;=$F31),"■","")</f>
      </c>
      <c r="BC31" s="0">
        <f>IF(AND(BC$9&gt;=$E31,BC$9&lt;=$F31),"■","")</f>
      </c>
      <c r="BD31" s="0">
        <f>IF(AND(BD$9&gt;=$E31,BD$9&lt;=$F31),"■","")</f>
      </c>
      <c r="BE31" s="0">
        <f>IF(AND(BE$9&gt;=$E31,BE$9&lt;=$F31),"■","")</f>
      </c>
      <c r="BF31" s="0">
        <f>IF(AND(BF$9&gt;=$E31,BF$9&lt;=$F31),"■","")</f>
      </c>
      <c r="BG31" s="0">
        <f>IF(AND(BG$9&gt;=$E31,BG$9&lt;=$F31),"■","")</f>
      </c>
      <c r="BH31" s="0">
        <f>IF(AND(BH$9&gt;=$E31,BH$9&lt;=$F31),"■","")</f>
      </c>
      <c r="BI31" s="0">
        <f>IF(AND(BI$9&gt;=$E31,BI$9&lt;=$F31),"■","")</f>
      </c>
      <c r="BJ31" s="0">
        <f>IF(AND(BJ$9&gt;=$E31,BJ$9&lt;=$F31),"■","")</f>
      </c>
      <c r="BK31" s="0">
        <f>IF(AND(BK$9&gt;=$E31,BK$9&lt;=$F31),"■","")</f>
      </c>
      <c r="BL31" s="0">
        <f>IF(AND(BL$9&gt;=$E31,BL$9&lt;=$F31),"■","")</f>
      </c>
      <c r="BM31" s="0">
        <f>IF(AND(BM$9&gt;=$E31,BM$9&lt;=$F31),"■","")</f>
      </c>
      <c r="BN31" s="0">
        <f>IF(AND(BN$9&gt;=$E31,BN$9&lt;=$F31),"■","")</f>
      </c>
      <c r="BO31" s="0">
        <f>IF(AND(BO$9&gt;=$E31,BO$9&lt;=$F31),"■","")</f>
      </c>
      <c r="BP31" s="0">
        <f>IF(AND(BP$9&gt;=$E31,BP$9&lt;=$F31),"■","")</f>
      </c>
      <c r="BQ31" s="0">
        <f>IF(AND(BQ$9&gt;=$E31,BQ$9&lt;=$F31),"■","")</f>
      </c>
      <c r="BR31" s="0">
        <f>IF(AND(BR$9&gt;=$E31,BR$9&lt;=$F31),"■","")</f>
      </c>
      <c r="BS31" s="0">
        <f>IF(AND(BS$9&gt;=$E31,BS$9&lt;=$F31),"■","")</f>
      </c>
      <c r="BT31" s="0">
        <f>IF(AND(BT$9&gt;=$E31,BT$9&lt;=$F31),"■","")</f>
      </c>
      <c r="BU31" s="0">
        <f>IF(AND(BU$9&gt;=$E31,BU$9&lt;=$F31),"■","")</f>
      </c>
      <c r="BV31" s="0">
        <f>IF(AND(BV$9&gt;=$E31,BV$9&lt;=$F31),"■","")</f>
      </c>
      <c r="BW31" s="0">
        <f>IF(AND(BW$9&gt;=$E31,BW$9&lt;=$F31),"■","")</f>
      </c>
    </row>
    <row r="32">
      <c r="A32" s="0" t="inlineStr">
        <is>
          <t>P002-022</t>
        </is>
      </c>
      <c r="B32" s="0" t="inlineStr">
        <is>
          <t/>
        </is>
      </c>
      <c r="C32" s="0" t="inlineStr">
        <is>
          <t/>
        </is>
      </c>
      <c r="D32" s="0" t="inlineStr">
        <is>
          <t/>
        </is>
      </c>
      <c r="E32" s="0" t="inlineStr">
        <is>
          <t/>
        </is>
      </c>
      <c r="F32" s="0" t="inlineStr">
        <is>
          <t/>
        </is>
      </c>
      <c r="G32" s="0" t="inlineStr">
        <is>
          <t/>
        </is>
      </c>
      <c r="H32" s="0" t="inlineStr">
        <is>
          <t/>
        </is>
      </c>
      <c r="I32" s="0" t="inlineStr">
        <is>
          <t/>
        </is>
      </c>
      <c r="J32" s="0">
        <f>SUMIFS('Suivi Temps'!$D:$D,'Suivi Temps'!$A:$A,"P002-022")</f>
      </c>
      <c r="K32" s="0" t="inlineStr">
        <is>
          <t/>
        </is>
      </c>
      <c r="L32" s="0" t="inlineStr">
        <is>
          <t/>
        </is>
      </c>
      <c r="M32" s="0" t="inlineStr">
        <is>
          <t/>
        </is>
      </c>
      <c r="N32" s="0" t="inlineStr">
        <is>
          <t/>
        </is>
      </c>
      <c r="O32" s="0" t="inlineStr">
        <is>
          <t/>
        </is>
      </c>
      <c r="P32" s="0">
        <f>IF(AND(P$9&gt;=$E32,P$9&lt;=$F32),"■","")</f>
      </c>
      <c r="Q32" s="0">
        <f>IF(AND(Q$9&gt;=$E32,Q$9&lt;=$F32),"■","")</f>
      </c>
      <c r="R32" s="0">
        <f>IF(AND(R$9&gt;=$E32,R$9&lt;=$F32),"■","")</f>
      </c>
      <c r="S32" s="0">
        <f>IF(AND(S$9&gt;=$E32,S$9&lt;=$F32),"■","")</f>
      </c>
      <c r="T32" s="0">
        <f>IF(AND(T$9&gt;=$E32,T$9&lt;=$F32),"■","")</f>
      </c>
      <c r="U32" s="0">
        <f>IF(AND(U$9&gt;=$E32,U$9&lt;=$F32),"■","")</f>
      </c>
      <c r="V32" s="0">
        <f>IF(AND(V$9&gt;=$E32,V$9&lt;=$F32),"■","")</f>
      </c>
      <c r="W32" s="0">
        <f>IF(AND(W$9&gt;=$E32,W$9&lt;=$F32),"■","")</f>
      </c>
      <c r="X32" s="0">
        <f>IF(AND(X$9&gt;=$E32,X$9&lt;=$F32),"■","")</f>
      </c>
      <c r="Y32" s="0">
        <f>IF(AND(Y$9&gt;=$E32,Y$9&lt;=$F32),"■","")</f>
      </c>
      <c r="Z32" s="0">
        <f>IF(AND(Z$9&gt;=$E32,Z$9&lt;=$F32),"■","")</f>
      </c>
      <c r="AA32" s="0">
        <f>IF(AND(AA$9&gt;=$E32,AA$9&lt;=$F32),"■","")</f>
      </c>
      <c r="AB32" s="0">
        <f>IF(AND(AB$9&gt;=$E32,AB$9&lt;=$F32),"■","")</f>
      </c>
      <c r="AC32" s="0">
        <f>IF(AND(AC$9&gt;=$E32,AC$9&lt;=$F32),"■","")</f>
      </c>
      <c r="AD32" s="0">
        <f>IF(AND(AD$9&gt;=$E32,AD$9&lt;=$F32),"■","")</f>
      </c>
      <c r="AE32" s="0">
        <f>IF(AND(AE$9&gt;=$E32,AE$9&lt;=$F32),"■","")</f>
      </c>
      <c r="AF32" s="0">
        <f>IF(AND(AF$9&gt;=$E32,AF$9&lt;=$F32),"■","")</f>
      </c>
      <c r="AG32" s="0">
        <f>IF(AND(AG$9&gt;=$E32,AG$9&lt;=$F32),"■","")</f>
      </c>
      <c r="AH32" s="0">
        <f>IF(AND(AH$9&gt;=$E32,AH$9&lt;=$F32),"■","")</f>
      </c>
      <c r="AI32" s="0">
        <f>IF(AND(AI$9&gt;=$E32,AI$9&lt;=$F32),"■","")</f>
      </c>
      <c r="AJ32" s="0">
        <f>IF(AND(AJ$9&gt;=$E32,AJ$9&lt;=$F32),"■","")</f>
      </c>
      <c r="AK32" s="0">
        <f>IF(AND(AK$9&gt;=$E32,AK$9&lt;=$F32),"■","")</f>
      </c>
      <c r="AL32" s="0">
        <f>IF(AND(AL$9&gt;=$E32,AL$9&lt;=$F32),"■","")</f>
      </c>
      <c r="AM32" s="0">
        <f>IF(AND(AM$9&gt;=$E32,AM$9&lt;=$F32),"■","")</f>
      </c>
      <c r="AN32" s="0">
        <f>IF(AND(AN$9&gt;=$E32,AN$9&lt;=$F32),"■","")</f>
      </c>
      <c r="AO32" s="0">
        <f>IF(AND(AO$9&gt;=$E32,AO$9&lt;=$F32),"■","")</f>
      </c>
      <c r="AP32" s="0">
        <f>IF(AND(AP$9&gt;=$E32,AP$9&lt;=$F32),"■","")</f>
      </c>
      <c r="AQ32" s="0">
        <f>IF(AND(AQ$9&gt;=$E32,AQ$9&lt;=$F32),"■","")</f>
      </c>
      <c r="AR32" s="0">
        <f>IF(AND(AR$9&gt;=$E32,AR$9&lt;=$F32),"■","")</f>
      </c>
      <c r="AS32" s="0">
        <f>IF(AND(AS$9&gt;=$E32,AS$9&lt;=$F32),"■","")</f>
      </c>
      <c r="AT32" s="0">
        <f>IF(AND(AT$9&gt;=$E32,AT$9&lt;=$F32),"■","")</f>
      </c>
      <c r="AU32" s="0">
        <f>IF(AND(AU$9&gt;=$E32,AU$9&lt;=$F32),"■","")</f>
      </c>
      <c r="AV32" s="0">
        <f>IF(AND(AV$9&gt;=$E32,AV$9&lt;=$F32),"■","")</f>
      </c>
      <c r="AW32" s="0">
        <f>IF(AND(AW$9&gt;=$E32,AW$9&lt;=$F32),"■","")</f>
      </c>
      <c r="AX32" s="0">
        <f>IF(AND(AX$9&gt;=$E32,AX$9&lt;=$F32),"■","")</f>
      </c>
      <c r="AY32" s="0">
        <f>IF(AND(AY$9&gt;=$E32,AY$9&lt;=$F32),"■","")</f>
      </c>
      <c r="AZ32" s="0">
        <f>IF(AND(AZ$9&gt;=$E32,AZ$9&lt;=$F32),"■","")</f>
      </c>
      <c r="BA32" s="0">
        <f>IF(AND(BA$9&gt;=$E32,BA$9&lt;=$F32),"■","")</f>
      </c>
      <c r="BB32" s="0">
        <f>IF(AND(BB$9&gt;=$E32,BB$9&lt;=$F32),"■","")</f>
      </c>
      <c r="BC32" s="0">
        <f>IF(AND(BC$9&gt;=$E32,BC$9&lt;=$F32),"■","")</f>
      </c>
      <c r="BD32" s="0">
        <f>IF(AND(BD$9&gt;=$E32,BD$9&lt;=$F32),"■","")</f>
      </c>
      <c r="BE32" s="0">
        <f>IF(AND(BE$9&gt;=$E32,BE$9&lt;=$F32),"■","")</f>
      </c>
      <c r="BF32" s="0">
        <f>IF(AND(BF$9&gt;=$E32,BF$9&lt;=$F32),"■","")</f>
      </c>
      <c r="BG32" s="0">
        <f>IF(AND(BG$9&gt;=$E32,BG$9&lt;=$F32),"■","")</f>
      </c>
      <c r="BH32" s="0">
        <f>IF(AND(BH$9&gt;=$E32,BH$9&lt;=$F32),"■","")</f>
      </c>
      <c r="BI32" s="0">
        <f>IF(AND(BI$9&gt;=$E32,BI$9&lt;=$F32),"■","")</f>
      </c>
      <c r="BJ32" s="0">
        <f>IF(AND(BJ$9&gt;=$E32,BJ$9&lt;=$F32),"■","")</f>
      </c>
      <c r="BK32" s="0">
        <f>IF(AND(BK$9&gt;=$E32,BK$9&lt;=$F32),"■","")</f>
      </c>
      <c r="BL32" s="0">
        <f>IF(AND(BL$9&gt;=$E32,BL$9&lt;=$F32),"■","")</f>
      </c>
      <c r="BM32" s="0">
        <f>IF(AND(BM$9&gt;=$E32,BM$9&lt;=$F32),"■","")</f>
      </c>
      <c r="BN32" s="0">
        <f>IF(AND(BN$9&gt;=$E32,BN$9&lt;=$F32),"■","")</f>
      </c>
      <c r="BO32" s="0">
        <f>IF(AND(BO$9&gt;=$E32,BO$9&lt;=$F32),"■","")</f>
      </c>
      <c r="BP32" s="0">
        <f>IF(AND(BP$9&gt;=$E32,BP$9&lt;=$F32),"■","")</f>
      </c>
      <c r="BQ32" s="0">
        <f>IF(AND(BQ$9&gt;=$E32,BQ$9&lt;=$F32),"■","")</f>
      </c>
      <c r="BR32" s="0">
        <f>IF(AND(BR$9&gt;=$E32,BR$9&lt;=$F32),"■","")</f>
      </c>
      <c r="BS32" s="0">
        <f>IF(AND(BS$9&gt;=$E32,BS$9&lt;=$F32),"■","")</f>
      </c>
      <c r="BT32" s="0">
        <f>IF(AND(BT$9&gt;=$E32,BT$9&lt;=$F32),"■","")</f>
      </c>
      <c r="BU32" s="0">
        <f>IF(AND(BU$9&gt;=$E32,BU$9&lt;=$F32),"■","")</f>
      </c>
      <c r="BV32" s="0">
        <f>IF(AND(BV$9&gt;=$E32,BV$9&lt;=$F32),"■","")</f>
      </c>
      <c r="BW32" s="0">
        <f>IF(AND(BW$9&gt;=$E32,BW$9&lt;=$F32),"■","")</f>
      </c>
    </row>
    <row r="33">
      <c r="A33" s="0" t="inlineStr">
        <is>
          <t>P002-023</t>
        </is>
      </c>
      <c r="B33" s="0" t="inlineStr">
        <is>
          <t/>
        </is>
      </c>
      <c r="C33" s="0" t="inlineStr">
        <is>
          <t/>
        </is>
      </c>
      <c r="D33" s="0" t="inlineStr">
        <is>
          <t/>
        </is>
      </c>
      <c r="E33" s="0" t="inlineStr">
        <is>
          <t/>
        </is>
      </c>
      <c r="F33" s="0" t="inlineStr">
        <is>
          <t/>
        </is>
      </c>
      <c r="G33" s="0" t="inlineStr">
        <is>
          <t/>
        </is>
      </c>
      <c r="H33" s="0" t="inlineStr">
        <is>
          <t/>
        </is>
      </c>
      <c r="I33" s="0" t="inlineStr">
        <is>
          <t/>
        </is>
      </c>
      <c r="J33" s="0">
        <f>SUMIFS('Suivi Temps'!$D:$D,'Suivi Temps'!$A:$A,"P002-023")</f>
      </c>
      <c r="K33" s="0" t="inlineStr">
        <is>
          <t/>
        </is>
      </c>
      <c r="L33" s="0" t="inlineStr">
        <is>
          <t/>
        </is>
      </c>
      <c r="M33" s="0" t="inlineStr">
        <is>
          <t/>
        </is>
      </c>
      <c r="N33" s="0" t="inlineStr">
        <is>
          <t/>
        </is>
      </c>
      <c r="O33" s="0" t="inlineStr">
        <is>
          <t/>
        </is>
      </c>
      <c r="P33" s="0">
        <f>IF(AND(P$9&gt;=$E33,P$9&lt;=$F33),"■","")</f>
      </c>
      <c r="Q33" s="0">
        <f>IF(AND(Q$9&gt;=$E33,Q$9&lt;=$F33),"■","")</f>
      </c>
      <c r="R33" s="0">
        <f>IF(AND(R$9&gt;=$E33,R$9&lt;=$F33),"■","")</f>
      </c>
      <c r="S33" s="0">
        <f>IF(AND(S$9&gt;=$E33,S$9&lt;=$F33),"■","")</f>
      </c>
      <c r="T33" s="0">
        <f>IF(AND(T$9&gt;=$E33,T$9&lt;=$F33),"■","")</f>
      </c>
      <c r="U33" s="0">
        <f>IF(AND(U$9&gt;=$E33,U$9&lt;=$F33),"■","")</f>
      </c>
      <c r="V33" s="0">
        <f>IF(AND(V$9&gt;=$E33,V$9&lt;=$F33),"■","")</f>
      </c>
      <c r="W33" s="0">
        <f>IF(AND(W$9&gt;=$E33,W$9&lt;=$F33),"■","")</f>
      </c>
      <c r="X33" s="0">
        <f>IF(AND(X$9&gt;=$E33,X$9&lt;=$F33),"■","")</f>
      </c>
      <c r="Y33" s="0">
        <f>IF(AND(Y$9&gt;=$E33,Y$9&lt;=$F33),"■","")</f>
      </c>
      <c r="Z33" s="0">
        <f>IF(AND(Z$9&gt;=$E33,Z$9&lt;=$F33),"■","")</f>
      </c>
      <c r="AA33" s="0">
        <f>IF(AND(AA$9&gt;=$E33,AA$9&lt;=$F33),"■","")</f>
      </c>
      <c r="AB33" s="0">
        <f>IF(AND(AB$9&gt;=$E33,AB$9&lt;=$F33),"■","")</f>
      </c>
      <c r="AC33" s="0">
        <f>IF(AND(AC$9&gt;=$E33,AC$9&lt;=$F33),"■","")</f>
      </c>
      <c r="AD33" s="0">
        <f>IF(AND(AD$9&gt;=$E33,AD$9&lt;=$F33),"■","")</f>
      </c>
      <c r="AE33" s="0">
        <f>IF(AND(AE$9&gt;=$E33,AE$9&lt;=$F33),"■","")</f>
      </c>
      <c r="AF33" s="0">
        <f>IF(AND(AF$9&gt;=$E33,AF$9&lt;=$F33),"■","")</f>
      </c>
      <c r="AG33" s="0">
        <f>IF(AND(AG$9&gt;=$E33,AG$9&lt;=$F33),"■","")</f>
      </c>
      <c r="AH33" s="0">
        <f>IF(AND(AH$9&gt;=$E33,AH$9&lt;=$F33),"■","")</f>
      </c>
      <c r="AI33" s="0">
        <f>IF(AND(AI$9&gt;=$E33,AI$9&lt;=$F33),"■","")</f>
      </c>
      <c r="AJ33" s="0">
        <f>IF(AND(AJ$9&gt;=$E33,AJ$9&lt;=$F33),"■","")</f>
      </c>
      <c r="AK33" s="0">
        <f>IF(AND(AK$9&gt;=$E33,AK$9&lt;=$F33),"■","")</f>
      </c>
      <c r="AL33" s="0">
        <f>IF(AND(AL$9&gt;=$E33,AL$9&lt;=$F33),"■","")</f>
      </c>
      <c r="AM33" s="0">
        <f>IF(AND(AM$9&gt;=$E33,AM$9&lt;=$F33),"■","")</f>
      </c>
      <c r="AN33" s="0">
        <f>IF(AND(AN$9&gt;=$E33,AN$9&lt;=$F33),"■","")</f>
      </c>
      <c r="AO33" s="0">
        <f>IF(AND(AO$9&gt;=$E33,AO$9&lt;=$F33),"■","")</f>
      </c>
      <c r="AP33" s="0">
        <f>IF(AND(AP$9&gt;=$E33,AP$9&lt;=$F33),"■","")</f>
      </c>
      <c r="AQ33" s="0">
        <f>IF(AND(AQ$9&gt;=$E33,AQ$9&lt;=$F33),"■","")</f>
      </c>
      <c r="AR33" s="0">
        <f>IF(AND(AR$9&gt;=$E33,AR$9&lt;=$F33),"■","")</f>
      </c>
      <c r="AS33" s="0">
        <f>IF(AND(AS$9&gt;=$E33,AS$9&lt;=$F33),"■","")</f>
      </c>
      <c r="AT33" s="0">
        <f>IF(AND(AT$9&gt;=$E33,AT$9&lt;=$F33),"■","")</f>
      </c>
      <c r="AU33" s="0">
        <f>IF(AND(AU$9&gt;=$E33,AU$9&lt;=$F33),"■","")</f>
      </c>
      <c r="AV33" s="0">
        <f>IF(AND(AV$9&gt;=$E33,AV$9&lt;=$F33),"■","")</f>
      </c>
      <c r="AW33" s="0">
        <f>IF(AND(AW$9&gt;=$E33,AW$9&lt;=$F33),"■","")</f>
      </c>
      <c r="AX33" s="0">
        <f>IF(AND(AX$9&gt;=$E33,AX$9&lt;=$F33),"■","")</f>
      </c>
      <c r="AY33" s="0">
        <f>IF(AND(AY$9&gt;=$E33,AY$9&lt;=$F33),"■","")</f>
      </c>
      <c r="AZ33" s="0">
        <f>IF(AND(AZ$9&gt;=$E33,AZ$9&lt;=$F33),"■","")</f>
      </c>
      <c r="BA33" s="0">
        <f>IF(AND(BA$9&gt;=$E33,BA$9&lt;=$F33),"■","")</f>
      </c>
      <c r="BB33" s="0">
        <f>IF(AND(BB$9&gt;=$E33,BB$9&lt;=$F33),"■","")</f>
      </c>
      <c r="BC33" s="0">
        <f>IF(AND(BC$9&gt;=$E33,BC$9&lt;=$F33),"■","")</f>
      </c>
      <c r="BD33" s="0">
        <f>IF(AND(BD$9&gt;=$E33,BD$9&lt;=$F33),"■","")</f>
      </c>
      <c r="BE33" s="0">
        <f>IF(AND(BE$9&gt;=$E33,BE$9&lt;=$F33),"■","")</f>
      </c>
      <c r="BF33" s="0">
        <f>IF(AND(BF$9&gt;=$E33,BF$9&lt;=$F33),"■","")</f>
      </c>
      <c r="BG33" s="0">
        <f>IF(AND(BG$9&gt;=$E33,BG$9&lt;=$F33),"■","")</f>
      </c>
      <c r="BH33" s="0">
        <f>IF(AND(BH$9&gt;=$E33,BH$9&lt;=$F33),"■","")</f>
      </c>
      <c r="BI33" s="0">
        <f>IF(AND(BI$9&gt;=$E33,BI$9&lt;=$F33),"■","")</f>
      </c>
      <c r="BJ33" s="0">
        <f>IF(AND(BJ$9&gt;=$E33,BJ$9&lt;=$F33),"■","")</f>
      </c>
      <c r="BK33" s="0">
        <f>IF(AND(BK$9&gt;=$E33,BK$9&lt;=$F33),"■","")</f>
      </c>
      <c r="BL33" s="0">
        <f>IF(AND(BL$9&gt;=$E33,BL$9&lt;=$F33),"■","")</f>
      </c>
      <c r="BM33" s="0">
        <f>IF(AND(BM$9&gt;=$E33,BM$9&lt;=$F33),"■","")</f>
      </c>
      <c r="BN33" s="0">
        <f>IF(AND(BN$9&gt;=$E33,BN$9&lt;=$F33),"■","")</f>
      </c>
      <c r="BO33" s="0">
        <f>IF(AND(BO$9&gt;=$E33,BO$9&lt;=$F33),"■","")</f>
      </c>
      <c r="BP33" s="0">
        <f>IF(AND(BP$9&gt;=$E33,BP$9&lt;=$F33),"■","")</f>
      </c>
      <c r="BQ33" s="0">
        <f>IF(AND(BQ$9&gt;=$E33,BQ$9&lt;=$F33),"■","")</f>
      </c>
      <c r="BR33" s="0">
        <f>IF(AND(BR$9&gt;=$E33,BR$9&lt;=$F33),"■","")</f>
      </c>
      <c r="BS33" s="0">
        <f>IF(AND(BS$9&gt;=$E33,BS$9&lt;=$F33),"■","")</f>
      </c>
      <c r="BT33" s="0">
        <f>IF(AND(BT$9&gt;=$E33,BT$9&lt;=$F33),"■","")</f>
      </c>
      <c r="BU33" s="0">
        <f>IF(AND(BU$9&gt;=$E33,BU$9&lt;=$F33),"■","")</f>
      </c>
      <c r="BV33" s="0">
        <f>IF(AND(BV$9&gt;=$E33,BV$9&lt;=$F33),"■","")</f>
      </c>
      <c r="BW33" s="0">
        <f>IF(AND(BW$9&gt;=$E33,BW$9&lt;=$F33),"■","")</f>
      </c>
    </row>
    <row r="34">
      <c r="A34" s="0" t="inlineStr">
        <is>
          <t>P002-024</t>
        </is>
      </c>
      <c r="B34" s="0" t="inlineStr">
        <is>
          <t/>
        </is>
      </c>
      <c r="C34" s="0" t="inlineStr">
        <is>
          <t/>
        </is>
      </c>
      <c r="D34" s="0" t="inlineStr">
        <is>
          <t/>
        </is>
      </c>
      <c r="E34" s="0" t="inlineStr">
        <is>
          <t/>
        </is>
      </c>
      <c r="F34" s="0" t="inlineStr">
        <is>
          <t/>
        </is>
      </c>
      <c r="G34" s="0" t="inlineStr">
        <is>
          <t/>
        </is>
      </c>
      <c r="H34" s="0" t="inlineStr">
        <is>
          <t/>
        </is>
      </c>
      <c r="I34" s="0" t="inlineStr">
        <is>
          <t/>
        </is>
      </c>
      <c r="J34" s="0">
        <f>SUMIFS('Suivi Temps'!$D:$D,'Suivi Temps'!$A:$A,"P002-024")</f>
      </c>
      <c r="K34" s="0" t="inlineStr">
        <is>
          <t/>
        </is>
      </c>
      <c r="L34" s="0" t="inlineStr">
        <is>
          <t/>
        </is>
      </c>
      <c r="M34" s="0" t="inlineStr">
        <is>
          <t/>
        </is>
      </c>
      <c r="N34" s="0" t="inlineStr">
        <is>
          <t/>
        </is>
      </c>
      <c r="O34" s="0" t="inlineStr">
        <is>
          <t/>
        </is>
      </c>
      <c r="P34" s="0">
        <f>IF(AND(P$9&gt;=$E34,P$9&lt;=$F34),"■","")</f>
      </c>
      <c r="Q34" s="0">
        <f>IF(AND(Q$9&gt;=$E34,Q$9&lt;=$F34),"■","")</f>
      </c>
      <c r="R34" s="0">
        <f>IF(AND(R$9&gt;=$E34,R$9&lt;=$F34),"■","")</f>
      </c>
      <c r="S34" s="0">
        <f>IF(AND(S$9&gt;=$E34,S$9&lt;=$F34),"■","")</f>
      </c>
      <c r="T34" s="0">
        <f>IF(AND(T$9&gt;=$E34,T$9&lt;=$F34),"■","")</f>
      </c>
      <c r="U34" s="0">
        <f>IF(AND(U$9&gt;=$E34,U$9&lt;=$F34),"■","")</f>
      </c>
      <c r="V34" s="0">
        <f>IF(AND(V$9&gt;=$E34,V$9&lt;=$F34),"■","")</f>
      </c>
      <c r="W34" s="0">
        <f>IF(AND(W$9&gt;=$E34,W$9&lt;=$F34),"■","")</f>
      </c>
      <c r="X34" s="0">
        <f>IF(AND(X$9&gt;=$E34,X$9&lt;=$F34),"■","")</f>
      </c>
      <c r="Y34" s="0">
        <f>IF(AND(Y$9&gt;=$E34,Y$9&lt;=$F34),"■","")</f>
      </c>
      <c r="Z34" s="0">
        <f>IF(AND(Z$9&gt;=$E34,Z$9&lt;=$F34),"■","")</f>
      </c>
      <c r="AA34" s="0">
        <f>IF(AND(AA$9&gt;=$E34,AA$9&lt;=$F34),"■","")</f>
      </c>
      <c r="AB34" s="0">
        <f>IF(AND(AB$9&gt;=$E34,AB$9&lt;=$F34),"■","")</f>
      </c>
      <c r="AC34" s="0">
        <f>IF(AND(AC$9&gt;=$E34,AC$9&lt;=$F34),"■","")</f>
      </c>
      <c r="AD34" s="0">
        <f>IF(AND(AD$9&gt;=$E34,AD$9&lt;=$F34),"■","")</f>
      </c>
      <c r="AE34" s="0">
        <f>IF(AND(AE$9&gt;=$E34,AE$9&lt;=$F34),"■","")</f>
      </c>
      <c r="AF34" s="0">
        <f>IF(AND(AF$9&gt;=$E34,AF$9&lt;=$F34),"■","")</f>
      </c>
      <c r="AG34" s="0">
        <f>IF(AND(AG$9&gt;=$E34,AG$9&lt;=$F34),"■","")</f>
      </c>
      <c r="AH34" s="0">
        <f>IF(AND(AH$9&gt;=$E34,AH$9&lt;=$F34),"■","")</f>
      </c>
      <c r="AI34" s="0">
        <f>IF(AND(AI$9&gt;=$E34,AI$9&lt;=$F34),"■","")</f>
      </c>
      <c r="AJ34" s="0">
        <f>IF(AND(AJ$9&gt;=$E34,AJ$9&lt;=$F34),"■","")</f>
      </c>
      <c r="AK34" s="0">
        <f>IF(AND(AK$9&gt;=$E34,AK$9&lt;=$F34),"■","")</f>
      </c>
      <c r="AL34" s="0">
        <f>IF(AND(AL$9&gt;=$E34,AL$9&lt;=$F34),"■","")</f>
      </c>
      <c r="AM34" s="0">
        <f>IF(AND(AM$9&gt;=$E34,AM$9&lt;=$F34),"■","")</f>
      </c>
      <c r="AN34" s="0">
        <f>IF(AND(AN$9&gt;=$E34,AN$9&lt;=$F34),"■","")</f>
      </c>
      <c r="AO34" s="0">
        <f>IF(AND(AO$9&gt;=$E34,AO$9&lt;=$F34),"■","")</f>
      </c>
      <c r="AP34" s="0">
        <f>IF(AND(AP$9&gt;=$E34,AP$9&lt;=$F34),"■","")</f>
      </c>
      <c r="AQ34" s="0">
        <f>IF(AND(AQ$9&gt;=$E34,AQ$9&lt;=$F34),"■","")</f>
      </c>
      <c r="AR34" s="0">
        <f>IF(AND(AR$9&gt;=$E34,AR$9&lt;=$F34),"■","")</f>
      </c>
      <c r="AS34" s="0">
        <f>IF(AND(AS$9&gt;=$E34,AS$9&lt;=$F34),"■","")</f>
      </c>
      <c r="AT34" s="0">
        <f>IF(AND(AT$9&gt;=$E34,AT$9&lt;=$F34),"■","")</f>
      </c>
      <c r="AU34" s="0">
        <f>IF(AND(AU$9&gt;=$E34,AU$9&lt;=$F34),"■","")</f>
      </c>
      <c r="AV34" s="0">
        <f>IF(AND(AV$9&gt;=$E34,AV$9&lt;=$F34),"■","")</f>
      </c>
      <c r="AW34" s="0">
        <f>IF(AND(AW$9&gt;=$E34,AW$9&lt;=$F34),"■","")</f>
      </c>
      <c r="AX34" s="0">
        <f>IF(AND(AX$9&gt;=$E34,AX$9&lt;=$F34),"■","")</f>
      </c>
      <c r="AY34" s="0">
        <f>IF(AND(AY$9&gt;=$E34,AY$9&lt;=$F34),"■","")</f>
      </c>
      <c r="AZ34" s="0">
        <f>IF(AND(AZ$9&gt;=$E34,AZ$9&lt;=$F34),"■","")</f>
      </c>
      <c r="BA34" s="0">
        <f>IF(AND(BA$9&gt;=$E34,BA$9&lt;=$F34),"■","")</f>
      </c>
      <c r="BB34" s="0">
        <f>IF(AND(BB$9&gt;=$E34,BB$9&lt;=$F34),"■","")</f>
      </c>
      <c r="BC34" s="0">
        <f>IF(AND(BC$9&gt;=$E34,BC$9&lt;=$F34),"■","")</f>
      </c>
      <c r="BD34" s="0">
        <f>IF(AND(BD$9&gt;=$E34,BD$9&lt;=$F34),"■","")</f>
      </c>
      <c r="BE34" s="0">
        <f>IF(AND(BE$9&gt;=$E34,BE$9&lt;=$F34),"■","")</f>
      </c>
      <c r="BF34" s="0">
        <f>IF(AND(BF$9&gt;=$E34,BF$9&lt;=$F34),"■","")</f>
      </c>
      <c r="BG34" s="0">
        <f>IF(AND(BG$9&gt;=$E34,BG$9&lt;=$F34),"■","")</f>
      </c>
      <c r="BH34" s="0">
        <f>IF(AND(BH$9&gt;=$E34,BH$9&lt;=$F34),"■","")</f>
      </c>
      <c r="BI34" s="0">
        <f>IF(AND(BI$9&gt;=$E34,BI$9&lt;=$F34),"■","")</f>
      </c>
      <c r="BJ34" s="0">
        <f>IF(AND(BJ$9&gt;=$E34,BJ$9&lt;=$F34),"■","")</f>
      </c>
      <c r="BK34" s="0">
        <f>IF(AND(BK$9&gt;=$E34,BK$9&lt;=$F34),"■","")</f>
      </c>
      <c r="BL34" s="0">
        <f>IF(AND(BL$9&gt;=$E34,BL$9&lt;=$F34),"■","")</f>
      </c>
      <c r="BM34" s="0">
        <f>IF(AND(BM$9&gt;=$E34,BM$9&lt;=$F34),"■","")</f>
      </c>
      <c r="BN34" s="0">
        <f>IF(AND(BN$9&gt;=$E34,BN$9&lt;=$F34),"■","")</f>
      </c>
      <c r="BO34" s="0">
        <f>IF(AND(BO$9&gt;=$E34,BO$9&lt;=$F34),"■","")</f>
      </c>
      <c r="BP34" s="0">
        <f>IF(AND(BP$9&gt;=$E34,BP$9&lt;=$F34),"■","")</f>
      </c>
      <c r="BQ34" s="0">
        <f>IF(AND(BQ$9&gt;=$E34,BQ$9&lt;=$F34),"■","")</f>
      </c>
      <c r="BR34" s="0">
        <f>IF(AND(BR$9&gt;=$E34,BR$9&lt;=$F34),"■","")</f>
      </c>
      <c r="BS34" s="0">
        <f>IF(AND(BS$9&gt;=$E34,BS$9&lt;=$F34),"■","")</f>
      </c>
      <c r="BT34" s="0">
        <f>IF(AND(BT$9&gt;=$E34,BT$9&lt;=$F34),"■","")</f>
      </c>
      <c r="BU34" s="0">
        <f>IF(AND(BU$9&gt;=$E34,BU$9&lt;=$F34),"■","")</f>
      </c>
      <c r="BV34" s="0">
        <f>IF(AND(BV$9&gt;=$E34,BV$9&lt;=$F34),"■","")</f>
      </c>
      <c r="BW34" s="0">
        <f>IF(AND(BW$9&gt;=$E34,BW$9&lt;=$F34),"■","")</f>
      </c>
    </row>
    <row r="35">
      <c r="A35" s="0" t="inlineStr">
        <is>
          <t>P002-025</t>
        </is>
      </c>
      <c r="B35" s="0" t="inlineStr">
        <is>
          <t/>
        </is>
      </c>
      <c r="C35" s="0" t="inlineStr">
        <is>
          <t/>
        </is>
      </c>
      <c r="D35" s="0" t="inlineStr">
        <is>
          <t/>
        </is>
      </c>
      <c r="E35" s="0" t="inlineStr">
        <is>
          <t/>
        </is>
      </c>
      <c r="F35" s="0" t="inlineStr">
        <is>
          <t/>
        </is>
      </c>
      <c r="G35" s="0" t="inlineStr">
        <is>
          <t/>
        </is>
      </c>
      <c r="H35" s="0" t="inlineStr">
        <is>
          <t/>
        </is>
      </c>
      <c r="I35" s="0" t="inlineStr">
        <is>
          <t/>
        </is>
      </c>
      <c r="J35" s="0">
        <f>SUMIFS('Suivi Temps'!$D:$D,'Suivi Temps'!$A:$A,"P002-025")</f>
      </c>
      <c r="K35" s="0" t="inlineStr">
        <is>
          <t/>
        </is>
      </c>
      <c r="L35" s="0" t="inlineStr">
        <is>
          <t/>
        </is>
      </c>
      <c r="M35" s="0" t="inlineStr">
        <is>
          <t/>
        </is>
      </c>
      <c r="N35" s="0" t="inlineStr">
        <is>
          <t/>
        </is>
      </c>
      <c r="O35" s="0" t="inlineStr">
        <is>
          <t/>
        </is>
      </c>
      <c r="P35" s="0">
        <f>IF(AND(P$9&gt;=$E35,P$9&lt;=$F35),"■","")</f>
      </c>
      <c r="Q35" s="0">
        <f>IF(AND(Q$9&gt;=$E35,Q$9&lt;=$F35),"■","")</f>
      </c>
      <c r="R35" s="0">
        <f>IF(AND(R$9&gt;=$E35,R$9&lt;=$F35),"■","")</f>
      </c>
      <c r="S35" s="0">
        <f>IF(AND(S$9&gt;=$E35,S$9&lt;=$F35),"■","")</f>
      </c>
      <c r="T35" s="0">
        <f>IF(AND(T$9&gt;=$E35,T$9&lt;=$F35),"■","")</f>
      </c>
      <c r="U35" s="0">
        <f>IF(AND(U$9&gt;=$E35,U$9&lt;=$F35),"■","")</f>
      </c>
      <c r="V35" s="0">
        <f>IF(AND(V$9&gt;=$E35,V$9&lt;=$F35),"■","")</f>
      </c>
      <c r="W35" s="0">
        <f>IF(AND(W$9&gt;=$E35,W$9&lt;=$F35),"■","")</f>
      </c>
      <c r="X35" s="0">
        <f>IF(AND(X$9&gt;=$E35,X$9&lt;=$F35),"■","")</f>
      </c>
      <c r="Y35" s="0">
        <f>IF(AND(Y$9&gt;=$E35,Y$9&lt;=$F35),"■","")</f>
      </c>
      <c r="Z35" s="0">
        <f>IF(AND(Z$9&gt;=$E35,Z$9&lt;=$F35),"■","")</f>
      </c>
      <c r="AA35" s="0">
        <f>IF(AND(AA$9&gt;=$E35,AA$9&lt;=$F35),"■","")</f>
      </c>
      <c r="AB35" s="0">
        <f>IF(AND(AB$9&gt;=$E35,AB$9&lt;=$F35),"■","")</f>
      </c>
      <c r="AC35" s="0">
        <f>IF(AND(AC$9&gt;=$E35,AC$9&lt;=$F35),"■","")</f>
      </c>
      <c r="AD35" s="0">
        <f>IF(AND(AD$9&gt;=$E35,AD$9&lt;=$F35),"■","")</f>
      </c>
      <c r="AE35" s="0">
        <f>IF(AND(AE$9&gt;=$E35,AE$9&lt;=$F35),"■","")</f>
      </c>
      <c r="AF35" s="0">
        <f>IF(AND(AF$9&gt;=$E35,AF$9&lt;=$F35),"■","")</f>
      </c>
      <c r="AG35" s="0">
        <f>IF(AND(AG$9&gt;=$E35,AG$9&lt;=$F35),"■","")</f>
      </c>
      <c r="AH35" s="0">
        <f>IF(AND(AH$9&gt;=$E35,AH$9&lt;=$F35),"■","")</f>
      </c>
      <c r="AI35" s="0">
        <f>IF(AND(AI$9&gt;=$E35,AI$9&lt;=$F35),"■","")</f>
      </c>
      <c r="AJ35" s="0">
        <f>IF(AND(AJ$9&gt;=$E35,AJ$9&lt;=$F35),"■","")</f>
      </c>
      <c r="AK35" s="0">
        <f>IF(AND(AK$9&gt;=$E35,AK$9&lt;=$F35),"■","")</f>
      </c>
      <c r="AL35" s="0">
        <f>IF(AND(AL$9&gt;=$E35,AL$9&lt;=$F35),"■","")</f>
      </c>
      <c r="AM35" s="0">
        <f>IF(AND(AM$9&gt;=$E35,AM$9&lt;=$F35),"■","")</f>
      </c>
      <c r="AN35" s="0">
        <f>IF(AND(AN$9&gt;=$E35,AN$9&lt;=$F35),"■","")</f>
      </c>
      <c r="AO35" s="0">
        <f>IF(AND(AO$9&gt;=$E35,AO$9&lt;=$F35),"■","")</f>
      </c>
      <c r="AP35" s="0">
        <f>IF(AND(AP$9&gt;=$E35,AP$9&lt;=$F35),"■","")</f>
      </c>
      <c r="AQ35" s="0">
        <f>IF(AND(AQ$9&gt;=$E35,AQ$9&lt;=$F35),"■","")</f>
      </c>
      <c r="AR35" s="0">
        <f>IF(AND(AR$9&gt;=$E35,AR$9&lt;=$F35),"■","")</f>
      </c>
      <c r="AS35" s="0">
        <f>IF(AND(AS$9&gt;=$E35,AS$9&lt;=$F35),"■","")</f>
      </c>
      <c r="AT35" s="0">
        <f>IF(AND(AT$9&gt;=$E35,AT$9&lt;=$F35),"■","")</f>
      </c>
      <c r="AU35" s="0">
        <f>IF(AND(AU$9&gt;=$E35,AU$9&lt;=$F35),"■","")</f>
      </c>
      <c r="AV35" s="0">
        <f>IF(AND(AV$9&gt;=$E35,AV$9&lt;=$F35),"■","")</f>
      </c>
      <c r="AW35" s="0">
        <f>IF(AND(AW$9&gt;=$E35,AW$9&lt;=$F35),"■","")</f>
      </c>
      <c r="AX35" s="0">
        <f>IF(AND(AX$9&gt;=$E35,AX$9&lt;=$F35),"■","")</f>
      </c>
      <c r="AY35" s="0">
        <f>IF(AND(AY$9&gt;=$E35,AY$9&lt;=$F35),"■","")</f>
      </c>
      <c r="AZ35" s="0">
        <f>IF(AND(AZ$9&gt;=$E35,AZ$9&lt;=$F35),"■","")</f>
      </c>
      <c r="BA35" s="0">
        <f>IF(AND(BA$9&gt;=$E35,BA$9&lt;=$F35),"■","")</f>
      </c>
      <c r="BB35" s="0">
        <f>IF(AND(BB$9&gt;=$E35,BB$9&lt;=$F35),"■","")</f>
      </c>
      <c r="BC35" s="0">
        <f>IF(AND(BC$9&gt;=$E35,BC$9&lt;=$F35),"■","")</f>
      </c>
      <c r="BD35" s="0">
        <f>IF(AND(BD$9&gt;=$E35,BD$9&lt;=$F35),"■","")</f>
      </c>
      <c r="BE35" s="0">
        <f>IF(AND(BE$9&gt;=$E35,BE$9&lt;=$F35),"■","")</f>
      </c>
      <c r="BF35" s="0">
        <f>IF(AND(BF$9&gt;=$E35,BF$9&lt;=$F35),"■","")</f>
      </c>
      <c r="BG35" s="0">
        <f>IF(AND(BG$9&gt;=$E35,BG$9&lt;=$F35),"■","")</f>
      </c>
      <c r="BH35" s="0">
        <f>IF(AND(BH$9&gt;=$E35,BH$9&lt;=$F35),"■","")</f>
      </c>
      <c r="BI35" s="0">
        <f>IF(AND(BI$9&gt;=$E35,BI$9&lt;=$F35),"■","")</f>
      </c>
      <c r="BJ35" s="0">
        <f>IF(AND(BJ$9&gt;=$E35,BJ$9&lt;=$F35),"■","")</f>
      </c>
      <c r="BK35" s="0">
        <f>IF(AND(BK$9&gt;=$E35,BK$9&lt;=$F35),"■","")</f>
      </c>
      <c r="BL35" s="0">
        <f>IF(AND(BL$9&gt;=$E35,BL$9&lt;=$F35),"■","")</f>
      </c>
      <c r="BM35" s="0">
        <f>IF(AND(BM$9&gt;=$E35,BM$9&lt;=$F35),"■","")</f>
      </c>
      <c r="BN35" s="0">
        <f>IF(AND(BN$9&gt;=$E35,BN$9&lt;=$F35),"■","")</f>
      </c>
      <c r="BO35" s="0">
        <f>IF(AND(BO$9&gt;=$E35,BO$9&lt;=$F35),"■","")</f>
      </c>
      <c r="BP35" s="0">
        <f>IF(AND(BP$9&gt;=$E35,BP$9&lt;=$F35),"■","")</f>
      </c>
      <c r="BQ35" s="0">
        <f>IF(AND(BQ$9&gt;=$E35,BQ$9&lt;=$F35),"■","")</f>
      </c>
      <c r="BR35" s="0">
        <f>IF(AND(BR$9&gt;=$E35,BR$9&lt;=$F35),"■","")</f>
      </c>
      <c r="BS35" s="0">
        <f>IF(AND(BS$9&gt;=$E35,BS$9&lt;=$F35),"■","")</f>
      </c>
      <c r="BT35" s="0">
        <f>IF(AND(BT$9&gt;=$E35,BT$9&lt;=$F35),"■","")</f>
      </c>
      <c r="BU35" s="0">
        <f>IF(AND(BU$9&gt;=$E35,BU$9&lt;=$F35),"■","")</f>
      </c>
      <c r="BV35" s="0">
        <f>IF(AND(BV$9&gt;=$E35,BV$9&lt;=$F35),"■","")</f>
      </c>
      <c r="BW35" s="0">
        <f>IF(AND(BW$9&gt;=$E35,BW$9&lt;=$F35),"■","")</f>
      </c>
    </row>
    <row r="36">
      <c r="A36" s="0" t="inlineStr">
        <is>
          <t>P002-026</t>
        </is>
      </c>
      <c r="B36" s="0" t="inlineStr">
        <is>
          <t/>
        </is>
      </c>
      <c r="C36" s="0" t="inlineStr">
        <is>
          <t/>
        </is>
      </c>
      <c r="D36" s="0" t="inlineStr">
        <is>
          <t/>
        </is>
      </c>
      <c r="E36" s="0" t="inlineStr">
        <is>
          <t/>
        </is>
      </c>
      <c r="F36" s="0" t="inlineStr">
        <is>
          <t/>
        </is>
      </c>
      <c r="G36" s="0" t="inlineStr">
        <is>
          <t/>
        </is>
      </c>
      <c r="H36" s="0" t="inlineStr">
        <is>
          <t/>
        </is>
      </c>
      <c r="I36" s="0" t="inlineStr">
        <is>
          <t/>
        </is>
      </c>
      <c r="J36" s="0">
        <f>SUMIFS('Suivi Temps'!$D:$D,'Suivi Temps'!$A:$A,"P002-026")</f>
      </c>
      <c r="K36" s="0" t="inlineStr">
        <is>
          <t/>
        </is>
      </c>
      <c r="L36" s="0" t="inlineStr">
        <is>
          <t/>
        </is>
      </c>
      <c r="M36" s="0" t="inlineStr">
        <is>
          <t/>
        </is>
      </c>
      <c r="N36" s="0" t="inlineStr">
        <is>
          <t/>
        </is>
      </c>
      <c r="O36" s="0" t="inlineStr">
        <is>
          <t/>
        </is>
      </c>
      <c r="P36" s="0">
        <f>IF(AND(P$9&gt;=$E36,P$9&lt;=$F36),"■","")</f>
      </c>
      <c r="Q36" s="0">
        <f>IF(AND(Q$9&gt;=$E36,Q$9&lt;=$F36),"■","")</f>
      </c>
      <c r="R36" s="0">
        <f>IF(AND(R$9&gt;=$E36,R$9&lt;=$F36),"■","")</f>
      </c>
      <c r="S36" s="0">
        <f>IF(AND(S$9&gt;=$E36,S$9&lt;=$F36),"■","")</f>
      </c>
      <c r="T36" s="0">
        <f>IF(AND(T$9&gt;=$E36,T$9&lt;=$F36),"■","")</f>
      </c>
      <c r="U36" s="0">
        <f>IF(AND(U$9&gt;=$E36,U$9&lt;=$F36),"■","")</f>
      </c>
      <c r="V36" s="0">
        <f>IF(AND(V$9&gt;=$E36,V$9&lt;=$F36),"■","")</f>
      </c>
      <c r="W36" s="0">
        <f>IF(AND(W$9&gt;=$E36,W$9&lt;=$F36),"■","")</f>
      </c>
      <c r="X36" s="0">
        <f>IF(AND(X$9&gt;=$E36,X$9&lt;=$F36),"■","")</f>
      </c>
      <c r="Y36" s="0">
        <f>IF(AND(Y$9&gt;=$E36,Y$9&lt;=$F36),"■","")</f>
      </c>
      <c r="Z36" s="0">
        <f>IF(AND(Z$9&gt;=$E36,Z$9&lt;=$F36),"■","")</f>
      </c>
      <c r="AA36" s="0">
        <f>IF(AND(AA$9&gt;=$E36,AA$9&lt;=$F36),"■","")</f>
      </c>
      <c r="AB36" s="0">
        <f>IF(AND(AB$9&gt;=$E36,AB$9&lt;=$F36),"■","")</f>
      </c>
      <c r="AC36" s="0">
        <f>IF(AND(AC$9&gt;=$E36,AC$9&lt;=$F36),"■","")</f>
      </c>
      <c r="AD36" s="0">
        <f>IF(AND(AD$9&gt;=$E36,AD$9&lt;=$F36),"■","")</f>
      </c>
      <c r="AE36" s="0">
        <f>IF(AND(AE$9&gt;=$E36,AE$9&lt;=$F36),"■","")</f>
      </c>
      <c r="AF36" s="0">
        <f>IF(AND(AF$9&gt;=$E36,AF$9&lt;=$F36),"■","")</f>
      </c>
      <c r="AG36" s="0">
        <f>IF(AND(AG$9&gt;=$E36,AG$9&lt;=$F36),"■","")</f>
      </c>
      <c r="AH36" s="0">
        <f>IF(AND(AH$9&gt;=$E36,AH$9&lt;=$F36),"■","")</f>
      </c>
      <c r="AI36" s="0">
        <f>IF(AND(AI$9&gt;=$E36,AI$9&lt;=$F36),"■","")</f>
      </c>
      <c r="AJ36" s="0">
        <f>IF(AND(AJ$9&gt;=$E36,AJ$9&lt;=$F36),"■","")</f>
      </c>
      <c r="AK36" s="0">
        <f>IF(AND(AK$9&gt;=$E36,AK$9&lt;=$F36),"■","")</f>
      </c>
      <c r="AL36" s="0">
        <f>IF(AND(AL$9&gt;=$E36,AL$9&lt;=$F36),"■","")</f>
      </c>
      <c r="AM36" s="0">
        <f>IF(AND(AM$9&gt;=$E36,AM$9&lt;=$F36),"■","")</f>
      </c>
      <c r="AN36" s="0">
        <f>IF(AND(AN$9&gt;=$E36,AN$9&lt;=$F36),"■","")</f>
      </c>
      <c r="AO36" s="0">
        <f>IF(AND(AO$9&gt;=$E36,AO$9&lt;=$F36),"■","")</f>
      </c>
      <c r="AP36" s="0">
        <f>IF(AND(AP$9&gt;=$E36,AP$9&lt;=$F36),"■","")</f>
      </c>
      <c r="AQ36" s="0">
        <f>IF(AND(AQ$9&gt;=$E36,AQ$9&lt;=$F36),"■","")</f>
      </c>
      <c r="AR36" s="0">
        <f>IF(AND(AR$9&gt;=$E36,AR$9&lt;=$F36),"■","")</f>
      </c>
      <c r="AS36" s="0">
        <f>IF(AND(AS$9&gt;=$E36,AS$9&lt;=$F36),"■","")</f>
      </c>
      <c r="AT36" s="0">
        <f>IF(AND(AT$9&gt;=$E36,AT$9&lt;=$F36),"■","")</f>
      </c>
      <c r="AU36" s="0">
        <f>IF(AND(AU$9&gt;=$E36,AU$9&lt;=$F36),"■","")</f>
      </c>
      <c r="AV36" s="0">
        <f>IF(AND(AV$9&gt;=$E36,AV$9&lt;=$F36),"■","")</f>
      </c>
      <c r="AW36" s="0">
        <f>IF(AND(AW$9&gt;=$E36,AW$9&lt;=$F36),"■","")</f>
      </c>
      <c r="AX36" s="0">
        <f>IF(AND(AX$9&gt;=$E36,AX$9&lt;=$F36),"■","")</f>
      </c>
      <c r="AY36" s="0">
        <f>IF(AND(AY$9&gt;=$E36,AY$9&lt;=$F36),"■","")</f>
      </c>
      <c r="AZ36" s="0">
        <f>IF(AND(AZ$9&gt;=$E36,AZ$9&lt;=$F36),"■","")</f>
      </c>
      <c r="BA36" s="0">
        <f>IF(AND(BA$9&gt;=$E36,BA$9&lt;=$F36),"■","")</f>
      </c>
      <c r="BB36" s="0">
        <f>IF(AND(BB$9&gt;=$E36,BB$9&lt;=$F36),"■","")</f>
      </c>
      <c r="BC36" s="0">
        <f>IF(AND(BC$9&gt;=$E36,BC$9&lt;=$F36),"■","")</f>
      </c>
      <c r="BD36" s="0">
        <f>IF(AND(BD$9&gt;=$E36,BD$9&lt;=$F36),"■","")</f>
      </c>
      <c r="BE36" s="0">
        <f>IF(AND(BE$9&gt;=$E36,BE$9&lt;=$F36),"■","")</f>
      </c>
      <c r="BF36" s="0">
        <f>IF(AND(BF$9&gt;=$E36,BF$9&lt;=$F36),"■","")</f>
      </c>
      <c r="BG36" s="0">
        <f>IF(AND(BG$9&gt;=$E36,BG$9&lt;=$F36),"■","")</f>
      </c>
      <c r="BH36" s="0">
        <f>IF(AND(BH$9&gt;=$E36,BH$9&lt;=$F36),"■","")</f>
      </c>
      <c r="BI36" s="0">
        <f>IF(AND(BI$9&gt;=$E36,BI$9&lt;=$F36),"■","")</f>
      </c>
      <c r="BJ36" s="0">
        <f>IF(AND(BJ$9&gt;=$E36,BJ$9&lt;=$F36),"■","")</f>
      </c>
      <c r="BK36" s="0">
        <f>IF(AND(BK$9&gt;=$E36,BK$9&lt;=$F36),"■","")</f>
      </c>
      <c r="BL36" s="0">
        <f>IF(AND(BL$9&gt;=$E36,BL$9&lt;=$F36),"■","")</f>
      </c>
      <c r="BM36" s="0">
        <f>IF(AND(BM$9&gt;=$E36,BM$9&lt;=$F36),"■","")</f>
      </c>
      <c r="BN36" s="0">
        <f>IF(AND(BN$9&gt;=$E36,BN$9&lt;=$F36),"■","")</f>
      </c>
      <c r="BO36" s="0">
        <f>IF(AND(BO$9&gt;=$E36,BO$9&lt;=$F36),"■","")</f>
      </c>
      <c r="BP36" s="0">
        <f>IF(AND(BP$9&gt;=$E36,BP$9&lt;=$F36),"■","")</f>
      </c>
      <c r="BQ36" s="0">
        <f>IF(AND(BQ$9&gt;=$E36,BQ$9&lt;=$F36),"■","")</f>
      </c>
      <c r="BR36" s="0">
        <f>IF(AND(BR$9&gt;=$E36,BR$9&lt;=$F36),"■","")</f>
      </c>
      <c r="BS36" s="0">
        <f>IF(AND(BS$9&gt;=$E36,BS$9&lt;=$F36),"■","")</f>
      </c>
      <c r="BT36" s="0">
        <f>IF(AND(BT$9&gt;=$E36,BT$9&lt;=$F36),"■","")</f>
      </c>
      <c r="BU36" s="0">
        <f>IF(AND(BU$9&gt;=$E36,BU$9&lt;=$F36),"■","")</f>
      </c>
      <c r="BV36" s="0">
        <f>IF(AND(BV$9&gt;=$E36,BV$9&lt;=$F36),"■","")</f>
      </c>
      <c r="BW36" s="0">
        <f>IF(AND(BW$9&gt;=$E36,BW$9&lt;=$F36),"■","")</f>
      </c>
    </row>
    <row r="37">
      <c r="A37" s="0" t="inlineStr">
        <is>
          <t>P002-027</t>
        </is>
      </c>
      <c r="B37" s="0" t="inlineStr">
        <is>
          <t/>
        </is>
      </c>
      <c r="C37" s="0" t="inlineStr">
        <is>
          <t/>
        </is>
      </c>
      <c r="D37" s="0" t="inlineStr">
        <is>
          <t/>
        </is>
      </c>
      <c r="E37" s="0" t="inlineStr">
        <is>
          <t/>
        </is>
      </c>
      <c r="F37" s="0" t="inlineStr">
        <is>
          <t/>
        </is>
      </c>
      <c r="G37" s="0" t="inlineStr">
        <is>
          <t/>
        </is>
      </c>
      <c r="H37" s="0" t="inlineStr">
        <is>
          <t/>
        </is>
      </c>
      <c r="I37" s="0" t="inlineStr">
        <is>
          <t/>
        </is>
      </c>
      <c r="J37" s="0">
        <f>SUMIFS('Suivi Temps'!$D:$D,'Suivi Temps'!$A:$A,"P002-027")</f>
      </c>
      <c r="K37" s="0" t="inlineStr">
        <is>
          <t/>
        </is>
      </c>
      <c r="L37" s="0" t="inlineStr">
        <is>
          <t/>
        </is>
      </c>
      <c r="M37" s="0" t="inlineStr">
        <is>
          <t/>
        </is>
      </c>
      <c r="N37" s="0" t="inlineStr">
        <is>
          <t/>
        </is>
      </c>
      <c r="O37" s="0" t="inlineStr">
        <is>
          <t/>
        </is>
      </c>
      <c r="P37" s="0">
        <f>IF(AND(P$9&gt;=$E37,P$9&lt;=$F37),"■","")</f>
      </c>
      <c r="Q37" s="0">
        <f>IF(AND(Q$9&gt;=$E37,Q$9&lt;=$F37),"■","")</f>
      </c>
      <c r="R37" s="0">
        <f>IF(AND(R$9&gt;=$E37,R$9&lt;=$F37),"■","")</f>
      </c>
      <c r="S37" s="0">
        <f>IF(AND(S$9&gt;=$E37,S$9&lt;=$F37),"■","")</f>
      </c>
      <c r="T37" s="0">
        <f>IF(AND(T$9&gt;=$E37,T$9&lt;=$F37),"■","")</f>
      </c>
      <c r="U37" s="0">
        <f>IF(AND(U$9&gt;=$E37,U$9&lt;=$F37),"■","")</f>
      </c>
      <c r="V37" s="0">
        <f>IF(AND(V$9&gt;=$E37,V$9&lt;=$F37),"■","")</f>
      </c>
      <c r="W37" s="0">
        <f>IF(AND(W$9&gt;=$E37,W$9&lt;=$F37),"■","")</f>
      </c>
      <c r="X37" s="0">
        <f>IF(AND(X$9&gt;=$E37,X$9&lt;=$F37),"■","")</f>
      </c>
      <c r="Y37" s="0">
        <f>IF(AND(Y$9&gt;=$E37,Y$9&lt;=$F37),"■","")</f>
      </c>
      <c r="Z37" s="0">
        <f>IF(AND(Z$9&gt;=$E37,Z$9&lt;=$F37),"■","")</f>
      </c>
      <c r="AA37" s="0">
        <f>IF(AND(AA$9&gt;=$E37,AA$9&lt;=$F37),"■","")</f>
      </c>
      <c r="AB37" s="0">
        <f>IF(AND(AB$9&gt;=$E37,AB$9&lt;=$F37),"■","")</f>
      </c>
      <c r="AC37" s="0">
        <f>IF(AND(AC$9&gt;=$E37,AC$9&lt;=$F37),"■","")</f>
      </c>
      <c r="AD37" s="0">
        <f>IF(AND(AD$9&gt;=$E37,AD$9&lt;=$F37),"■","")</f>
      </c>
      <c r="AE37" s="0">
        <f>IF(AND(AE$9&gt;=$E37,AE$9&lt;=$F37),"■","")</f>
      </c>
      <c r="AF37" s="0">
        <f>IF(AND(AF$9&gt;=$E37,AF$9&lt;=$F37),"■","")</f>
      </c>
      <c r="AG37" s="0">
        <f>IF(AND(AG$9&gt;=$E37,AG$9&lt;=$F37),"■","")</f>
      </c>
      <c r="AH37" s="0">
        <f>IF(AND(AH$9&gt;=$E37,AH$9&lt;=$F37),"■","")</f>
      </c>
      <c r="AI37" s="0">
        <f>IF(AND(AI$9&gt;=$E37,AI$9&lt;=$F37),"■","")</f>
      </c>
      <c r="AJ37" s="0">
        <f>IF(AND(AJ$9&gt;=$E37,AJ$9&lt;=$F37),"■","")</f>
      </c>
      <c r="AK37" s="0">
        <f>IF(AND(AK$9&gt;=$E37,AK$9&lt;=$F37),"■","")</f>
      </c>
      <c r="AL37" s="0">
        <f>IF(AND(AL$9&gt;=$E37,AL$9&lt;=$F37),"■","")</f>
      </c>
      <c r="AM37" s="0">
        <f>IF(AND(AM$9&gt;=$E37,AM$9&lt;=$F37),"■","")</f>
      </c>
      <c r="AN37" s="0">
        <f>IF(AND(AN$9&gt;=$E37,AN$9&lt;=$F37),"■","")</f>
      </c>
      <c r="AO37" s="0">
        <f>IF(AND(AO$9&gt;=$E37,AO$9&lt;=$F37),"■","")</f>
      </c>
      <c r="AP37" s="0">
        <f>IF(AND(AP$9&gt;=$E37,AP$9&lt;=$F37),"■","")</f>
      </c>
      <c r="AQ37" s="0">
        <f>IF(AND(AQ$9&gt;=$E37,AQ$9&lt;=$F37),"■","")</f>
      </c>
      <c r="AR37" s="0">
        <f>IF(AND(AR$9&gt;=$E37,AR$9&lt;=$F37),"■","")</f>
      </c>
      <c r="AS37" s="0">
        <f>IF(AND(AS$9&gt;=$E37,AS$9&lt;=$F37),"■","")</f>
      </c>
      <c r="AT37" s="0">
        <f>IF(AND(AT$9&gt;=$E37,AT$9&lt;=$F37),"■","")</f>
      </c>
      <c r="AU37" s="0">
        <f>IF(AND(AU$9&gt;=$E37,AU$9&lt;=$F37),"■","")</f>
      </c>
      <c r="AV37" s="0">
        <f>IF(AND(AV$9&gt;=$E37,AV$9&lt;=$F37),"■","")</f>
      </c>
      <c r="AW37" s="0">
        <f>IF(AND(AW$9&gt;=$E37,AW$9&lt;=$F37),"■","")</f>
      </c>
      <c r="AX37" s="0">
        <f>IF(AND(AX$9&gt;=$E37,AX$9&lt;=$F37),"■","")</f>
      </c>
      <c r="AY37" s="0">
        <f>IF(AND(AY$9&gt;=$E37,AY$9&lt;=$F37),"■","")</f>
      </c>
      <c r="AZ37" s="0">
        <f>IF(AND(AZ$9&gt;=$E37,AZ$9&lt;=$F37),"■","")</f>
      </c>
      <c r="BA37" s="0">
        <f>IF(AND(BA$9&gt;=$E37,BA$9&lt;=$F37),"■","")</f>
      </c>
      <c r="BB37" s="0">
        <f>IF(AND(BB$9&gt;=$E37,BB$9&lt;=$F37),"■","")</f>
      </c>
      <c r="BC37" s="0">
        <f>IF(AND(BC$9&gt;=$E37,BC$9&lt;=$F37),"■","")</f>
      </c>
      <c r="BD37" s="0">
        <f>IF(AND(BD$9&gt;=$E37,BD$9&lt;=$F37),"■","")</f>
      </c>
      <c r="BE37" s="0">
        <f>IF(AND(BE$9&gt;=$E37,BE$9&lt;=$F37),"■","")</f>
      </c>
      <c r="BF37" s="0">
        <f>IF(AND(BF$9&gt;=$E37,BF$9&lt;=$F37),"■","")</f>
      </c>
      <c r="BG37" s="0">
        <f>IF(AND(BG$9&gt;=$E37,BG$9&lt;=$F37),"■","")</f>
      </c>
      <c r="BH37" s="0">
        <f>IF(AND(BH$9&gt;=$E37,BH$9&lt;=$F37),"■","")</f>
      </c>
      <c r="BI37" s="0">
        <f>IF(AND(BI$9&gt;=$E37,BI$9&lt;=$F37),"■","")</f>
      </c>
      <c r="BJ37" s="0">
        <f>IF(AND(BJ$9&gt;=$E37,BJ$9&lt;=$F37),"■","")</f>
      </c>
      <c r="BK37" s="0">
        <f>IF(AND(BK$9&gt;=$E37,BK$9&lt;=$F37),"■","")</f>
      </c>
      <c r="BL37" s="0">
        <f>IF(AND(BL$9&gt;=$E37,BL$9&lt;=$F37),"■","")</f>
      </c>
      <c r="BM37" s="0">
        <f>IF(AND(BM$9&gt;=$E37,BM$9&lt;=$F37),"■","")</f>
      </c>
      <c r="BN37" s="0">
        <f>IF(AND(BN$9&gt;=$E37,BN$9&lt;=$F37),"■","")</f>
      </c>
      <c r="BO37" s="0">
        <f>IF(AND(BO$9&gt;=$E37,BO$9&lt;=$F37),"■","")</f>
      </c>
      <c r="BP37" s="0">
        <f>IF(AND(BP$9&gt;=$E37,BP$9&lt;=$F37),"■","")</f>
      </c>
      <c r="BQ37" s="0">
        <f>IF(AND(BQ$9&gt;=$E37,BQ$9&lt;=$F37),"■","")</f>
      </c>
      <c r="BR37" s="0">
        <f>IF(AND(BR$9&gt;=$E37,BR$9&lt;=$F37),"■","")</f>
      </c>
      <c r="BS37" s="0">
        <f>IF(AND(BS$9&gt;=$E37,BS$9&lt;=$F37),"■","")</f>
      </c>
      <c r="BT37" s="0">
        <f>IF(AND(BT$9&gt;=$E37,BT$9&lt;=$F37),"■","")</f>
      </c>
      <c r="BU37" s="0">
        <f>IF(AND(BU$9&gt;=$E37,BU$9&lt;=$F37),"■","")</f>
      </c>
      <c r="BV37" s="0">
        <f>IF(AND(BV$9&gt;=$E37,BV$9&lt;=$F37),"■","")</f>
      </c>
      <c r="BW37" s="0">
        <f>IF(AND(BW$9&gt;=$E37,BW$9&lt;=$F37),"■","")</f>
      </c>
    </row>
    <row r="38">
      <c r="A38" s="0" t="inlineStr">
        <is>
          <t>P002-028</t>
        </is>
      </c>
      <c r="B38" s="0" t="inlineStr">
        <is>
          <t/>
        </is>
      </c>
      <c r="C38" s="0" t="inlineStr">
        <is>
          <t/>
        </is>
      </c>
      <c r="D38" s="0" t="inlineStr">
        <is>
          <t/>
        </is>
      </c>
      <c r="E38" s="0" t="inlineStr">
        <is>
          <t/>
        </is>
      </c>
      <c r="F38" s="0" t="inlineStr">
        <is>
          <t/>
        </is>
      </c>
      <c r="G38" s="0" t="inlineStr">
        <is>
          <t/>
        </is>
      </c>
      <c r="H38" s="0" t="inlineStr">
        <is>
          <t/>
        </is>
      </c>
      <c r="I38" s="0" t="inlineStr">
        <is>
          <t/>
        </is>
      </c>
      <c r="J38" s="0">
        <f>SUMIFS('Suivi Temps'!$D:$D,'Suivi Temps'!$A:$A,"P002-028")</f>
      </c>
      <c r="K38" s="0" t="inlineStr">
        <is>
          <t/>
        </is>
      </c>
      <c r="L38" s="0" t="inlineStr">
        <is>
          <t/>
        </is>
      </c>
      <c r="M38" s="0" t="inlineStr">
        <is>
          <t/>
        </is>
      </c>
      <c r="N38" s="0" t="inlineStr">
        <is>
          <t/>
        </is>
      </c>
      <c r="O38" s="0" t="inlineStr">
        <is>
          <t/>
        </is>
      </c>
      <c r="P38" s="0">
        <f>IF(AND(P$9&gt;=$E38,P$9&lt;=$F38),"■","")</f>
      </c>
      <c r="Q38" s="0">
        <f>IF(AND(Q$9&gt;=$E38,Q$9&lt;=$F38),"■","")</f>
      </c>
      <c r="R38" s="0">
        <f>IF(AND(R$9&gt;=$E38,R$9&lt;=$F38),"■","")</f>
      </c>
      <c r="S38" s="0">
        <f>IF(AND(S$9&gt;=$E38,S$9&lt;=$F38),"■","")</f>
      </c>
      <c r="T38" s="0">
        <f>IF(AND(T$9&gt;=$E38,T$9&lt;=$F38),"■","")</f>
      </c>
      <c r="U38" s="0">
        <f>IF(AND(U$9&gt;=$E38,U$9&lt;=$F38),"■","")</f>
      </c>
      <c r="V38" s="0">
        <f>IF(AND(V$9&gt;=$E38,V$9&lt;=$F38),"■","")</f>
      </c>
      <c r="W38" s="0">
        <f>IF(AND(W$9&gt;=$E38,W$9&lt;=$F38),"■","")</f>
      </c>
      <c r="X38" s="0">
        <f>IF(AND(X$9&gt;=$E38,X$9&lt;=$F38),"■","")</f>
      </c>
      <c r="Y38" s="0">
        <f>IF(AND(Y$9&gt;=$E38,Y$9&lt;=$F38),"■","")</f>
      </c>
      <c r="Z38" s="0">
        <f>IF(AND(Z$9&gt;=$E38,Z$9&lt;=$F38),"■","")</f>
      </c>
      <c r="AA38" s="0">
        <f>IF(AND(AA$9&gt;=$E38,AA$9&lt;=$F38),"■","")</f>
      </c>
      <c r="AB38" s="0">
        <f>IF(AND(AB$9&gt;=$E38,AB$9&lt;=$F38),"■","")</f>
      </c>
      <c r="AC38" s="0">
        <f>IF(AND(AC$9&gt;=$E38,AC$9&lt;=$F38),"■","")</f>
      </c>
      <c r="AD38" s="0">
        <f>IF(AND(AD$9&gt;=$E38,AD$9&lt;=$F38),"■","")</f>
      </c>
      <c r="AE38" s="0">
        <f>IF(AND(AE$9&gt;=$E38,AE$9&lt;=$F38),"■","")</f>
      </c>
      <c r="AF38" s="0">
        <f>IF(AND(AF$9&gt;=$E38,AF$9&lt;=$F38),"■","")</f>
      </c>
      <c r="AG38" s="0">
        <f>IF(AND(AG$9&gt;=$E38,AG$9&lt;=$F38),"■","")</f>
      </c>
      <c r="AH38" s="0">
        <f>IF(AND(AH$9&gt;=$E38,AH$9&lt;=$F38),"■","")</f>
      </c>
      <c r="AI38" s="0">
        <f>IF(AND(AI$9&gt;=$E38,AI$9&lt;=$F38),"■","")</f>
      </c>
      <c r="AJ38" s="0">
        <f>IF(AND(AJ$9&gt;=$E38,AJ$9&lt;=$F38),"■","")</f>
      </c>
      <c r="AK38" s="0">
        <f>IF(AND(AK$9&gt;=$E38,AK$9&lt;=$F38),"■","")</f>
      </c>
      <c r="AL38" s="0">
        <f>IF(AND(AL$9&gt;=$E38,AL$9&lt;=$F38),"■","")</f>
      </c>
      <c r="AM38" s="0">
        <f>IF(AND(AM$9&gt;=$E38,AM$9&lt;=$F38),"■","")</f>
      </c>
      <c r="AN38" s="0">
        <f>IF(AND(AN$9&gt;=$E38,AN$9&lt;=$F38),"■","")</f>
      </c>
      <c r="AO38" s="0">
        <f>IF(AND(AO$9&gt;=$E38,AO$9&lt;=$F38),"■","")</f>
      </c>
      <c r="AP38" s="0">
        <f>IF(AND(AP$9&gt;=$E38,AP$9&lt;=$F38),"■","")</f>
      </c>
      <c r="AQ38" s="0">
        <f>IF(AND(AQ$9&gt;=$E38,AQ$9&lt;=$F38),"■","")</f>
      </c>
      <c r="AR38" s="0">
        <f>IF(AND(AR$9&gt;=$E38,AR$9&lt;=$F38),"■","")</f>
      </c>
      <c r="AS38" s="0">
        <f>IF(AND(AS$9&gt;=$E38,AS$9&lt;=$F38),"■","")</f>
      </c>
      <c r="AT38" s="0">
        <f>IF(AND(AT$9&gt;=$E38,AT$9&lt;=$F38),"■","")</f>
      </c>
      <c r="AU38" s="0">
        <f>IF(AND(AU$9&gt;=$E38,AU$9&lt;=$F38),"■","")</f>
      </c>
      <c r="AV38" s="0">
        <f>IF(AND(AV$9&gt;=$E38,AV$9&lt;=$F38),"■","")</f>
      </c>
      <c r="AW38" s="0">
        <f>IF(AND(AW$9&gt;=$E38,AW$9&lt;=$F38),"■","")</f>
      </c>
      <c r="AX38" s="0">
        <f>IF(AND(AX$9&gt;=$E38,AX$9&lt;=$F38),"■","")</f>
      </c>
      <c r="AY38" s="0">
        <f>IF(AND(AY$9&gt;=$E38,AY$9&lt;=$F38),"■","")</f>
      </c>
      <c r="AZ38" s="0">
        <f>IF(AND(AZ$9&gt;=$E38,AZ$9&lt;=$F38),"■","")</f>
      </c>
      <c r="BA38" s="0">
        <f>IF(AND(BA$9&gt;=$E38,BA$9&lt;=$F38),"■","")</f>
      </c>
      <c r="BB38" s="0">
        <f>IF(AND(BB$9&gt;=$E38,BB$9&lt;=$F38),"■","")</f>
      </c>
      <c r="BC38" s="0">
        <f>IF(AND(BC$9&gt;=$E38,BC$9&lt;=$F38),"■","")</f>
      </c>
      <c r="BD38" s="0">
        <f>IF(AND(BD$9&gt;=$E38,BD$9&lt;=$F38),"■","")</f>
      </c>
      <c r="BE38" s="0">
        <f>IF(AND(BE$9&gt;=$E38,BE$9&lt;=$F38),"■","")</f>
      </c>
      <c r="BF38" s="0">
        <f>IF(AND(BF$9&gt;=$E38,BF$9&lt;=$F38),"■","")</f>
      </c>
      <c r="BG38" s="0">
        <f>IF(AND(BG$9&gt;=$E38,BG$9&lt;=$F38),"■","")</f>
      </c>
      <c r="BH38" s="0">
        <f>IF(AND(BH$9&gt;=$E38,BH$9&lt;=$F38),"■","")</f>
      </c>
      <c r="BI38" s="0">
        <f>IF(AND(BI$9&gt;=$E38,BI$9&lt;=$F38),"■","")</f>
      </c>
      <c r="BJ38" s="0">
        <f>IF(AND(BJ$9&gt;=$E38,BJ$9&lt;=$F38),"■","")</f>
      </c>
      <c r="BK38" s="0">
        <f>IF(AND(BK$9&gt;=$E38,BK$9&lt;=$F38),"■","")</f>
      </c>
      <c r="BL38" s="0">
        <f>IF(AND(BL$9&gt;=$E38,BL$9&lt;=$F38),"■","")</f>
      </c>
      <c r="BM38" s="0">
        <f>IF(AND(BM$9&gt;=$E38,BM$9&lt;=$F38),"■","")</f>
      </c>
      <c r="BN38" s="0">
        <f>IF(AND(BN$9&gt;=$E38,BN$9&lt;=$F38),"■","")</f>
      </c>
      <c r="BO38" s="0">
        <f>IF(AND(BO$9&gt;=$E38,BO$9&lt;=$F38),"■","")</f>
      </c>
      <c r="BP38" s="0">
        <f>IF(AND(BP$9&gt;=$E38,BP$9&lt;=$F38),"■","")</f>
      </c>
      <c r="BQ38" s="0">
        <f>IF(AND(BQ$9&gt;=$E38,BQ$9&lt;=$F38),"■","")</f>
      </c>
      <c r="BR38" s="0">
        <f>IF(AND(BR$9&gt;=$E38,BR$9&lt;=$F38),"■","")</f>
      </c>
      <c r="BS38" s="0">
        <f>IF(AND(BS$9&gt;=$E38,BS$9&lt;=$F38),"■","")</f>
      </c>
      <c r="BT38" s="0">
        <f>IF(AND(BT$9&gt;=$E38,BT$9&lt;=$F38),"■","")</f>
      </c>
      <c r="BU38" s="0">
        <f>IF(AND(BU$9&gt;=$E38,BU$9&lt;=$F38),"■","")</f>
      </c>
      <c r="BV38" s="0">
        <f>IF(AND(BV$9&gt;=$E38,BV$9&lt;=$F38),"■","")</f>
      </c>
      <c r="BW38" s="0">
        <f>IF(AND(BW$9&gt;=$E38,BW$9&lt;=$F38),"■","")</f>
      </c>
    </row>
    <row r="39">
      <c r="A39" s="0" t="inlineStr">
        <is>
          <t>P002-029</t>
        </is>
      </c>
      <c r="B39" s="0" t="inlineStr">
        <is>
          <t/>
        </is>
      </c>
      <c r="C39" s="0" t="inlineStr">
        <is>
          <t/>
        </is>
      </c>
      <c r="D39" s="0" t="inlineStr">
        <is>
          <t/>
        </is>
      </c>
      <c r="E39" s="0" t="inlineStr">
        <is>
          <t/>
        </is>
      </c>
      <c r="F39" s="0" t="inlineStr">
        <is>
          <t/>
        </is>
      </c>
      <c r="G39" s="0" t="inlineStr">
        <is>
          <t/>
        </is>
      </c>
      <c r="H39" s="0" t="inlineStr">
        <is>
          <t/>
        </is>
      </c>
      <c r="I39" s="0" t="inlineStr">
        <is>
          <t/>
        </is>
      </c>
      <c r="J39" s="0">
        <f>SUMIFS('Suivi Temps'!$D:$D,'Suivi Temps'!$A:$A,"P002-029")</f>
      </c>
      <c r="K39" s="0" t="inlineStr">
        <is>
          <t/>
        </is>
      </c>
      <c r="L39" s="0" t="inlineStr">
        <is>
          <t/>
        </is>
      </c>
      <c r="M39" s="0" t="inlineStr">
        <is>
          <t/>
        </is>
      </c>
      <c r="N39" s="0" t="inlineStr">
        <is>
          <t/>
        </is>
      </c>
      <c r="O39" s="0" t="inlineStr">
        <is>
          <t/>
        </is>
      </c>
      <c r="P39" s="0">
        <f>IF(AND(P$9&gt;=$E39,P$9&lt;=$F39),"■","")</f>
      </c>
      <c r="Q39" s="0">
        <f>IF(AND(Q$9&gt;=$E39,Q$9&lt;=$F39),"■","")</f>
      </c>
      <c r="R39" s="0">
        <f>IF(AND(R$9&gt;=$E39,R$9&lt;=$F39),"■","")</f>
      </c>
      <c r="S39" s="0">
        <f>IF(AND(S$9&gt;=$E39,S$9&lt;=$F39),"■","")</f>
      </c>
      <c r="T39" s="0">
        <f>IF(AND(T$9&gt;=$E39,T$9&lt;=$F39),"■","")</f>
      </c>
      <c r="U39" s="0">
        <f>IF(AND(U$9&gt;=$E39,U$9&lt;=$F39),"■","")</f>
      </c>
      <c r="V39" s="0">
        <f>IF(AND(V$9&gt;=$E39,V$9&lt;=$F39),"■","")</f>
      </c>
      <c r="W39" s="0">
        <f>IF(AND(W$9&gt;=$E39,W$9&lt;=$F39),"■","")</f>
      </c>
      <c r="X39" s="0">
        <f>IF(AND(X$9&gt;=$E39,X$9&lt;=$F39),"■","")</f>
      </c>
      <c r="Y39" s="0">
        <f>IF(AND(Y$9&gt;=$E39,Y$9&lt;=$F39),"■","")</f>
      </c>
      <c r="Z39" s="0">
        <f>IF(AND(Z$9&gt;=$E39,Z$9&lt;=$F39),"■","")</f>
      </c>
      <c r="AA39" s="0">
        <f>IF(AND(AA$9&gt;=$E39,AA$9&lt;=$F39),"■","")</f>
      </c>
      <c r="AB39" s="0">
        <f>IF(AND(AB$9&gt;=$E39,AB$9&lt;=$F39),"■","")</f>
      </c>
      <c r="AC39" s="0">
        <f>IF(AND(AC$9&gt;=$E39,AC$9&lt;=$F39),"■","")</f>
      </c>
      <c r="AD39" s="0">
        <f>IF(AND(AD$9&gt;=$E39,AD$9&lt;=$F39),"■","")</f>
      </c>
      <c r="AE39" s="0">
        <f>IF(AND(AE$9&gt;=$E39,AE$9&lt;=$F39),"■","")</f>
      </c>
      <c r="AF39" s="0">
        <f>IF(AND(AF$9&gt;=$E39,AF$9&lt;=$F39),"■","")</f>
      </c>
      <c r="AG39" s="0">
        <f>IF(AND(AG$9&gt;=$E39,AG$9&lt;=$F39),"■","")</f>
      </c>
      <c r="AH39" s="0">
        <f>IF(AND(AH$9&gt;=$E39,AH$9&lt;=$F39),"■","")</f>
      </c>
      <c r="AI39" s="0">
        <f>IF(AND(AI$9&gt;=$E39,AI$9&lt;=$F39),"■","")</f>
      </c>
      <c r="AJ39" s="0">
        <f>IF(AND(AJ$9&gt;=$E39,AJ$9&lt;=$F39),"■","")</f>
      </c>
      <c r="AK39" s="0">
        <f>IF(AND(AK$9&gt;=$E39,AK$9&lt;=$F39),"■","")</f>
      </c>
      <c r="AL39" s="0">
        <f>IF(AND(AL$9&gt;=$E39,AL$9&lt;=$F39),"■","")</f>
      </c>
      <c r="AM39" s="0">
        <f>IF(AND(AM$9&gt;=$E39,AM$9&lt;=$F39),"■","")</f>
      </c>
      <c r="AN39" s="0">
        <f>IF(AND(AN$9&gt;=$E39,AN$9&lt;=$F39),"■","")</f>
      </c>
      <c r="AO39" s="0">
        <f>IF(AND(AO$9&gt;=$E39,AO$9&lt;=$F39),"■","")</f>
      </c>
      <c r="AP39" s="0">
        <f>IF(AND(AP$9&gt;=$E39,AP$9&lt;=$F39),"■","")</f>
      </c>
      <c r="AQ39" s="0">
        <f>IF(AND(AQ$9&gt;=$E39,AQ$9&lt;=$F39),"■","")</f>
      </c>
      <c r="AR39" s="0">
        <f>IF(AND(AR$9&gt;=$E39,AR$9&lt;=$F39),"■","")</f>
      </c>
      <c r="AS39" s="0">
        <f>IF(AND(AS$9&gt;=$E39,AS$9&lt;=$F39),"■","")</f>
      </c>
      <c r="AT39" s="0">
        <f>IF(AND(AT$9&gt;=$E39,AT$9&lt;=$F39),"■","")</f>
      </c>
      <c r="AU39" s="0">
        <f>IF(AND(AU$9&gt;=$E39,AU$9&lt;=$F39),"■","")</f>
      </c>
      <c r="AV39" s="0">
        <f>IF(AND(AV$9&gt;=$E39,AV$9&lt;=$F39),"■","")</f>
      </c>
      <c r="AW39" s="0">
        <f>IF(AND(AW$9&gt;=$E39,AW$9&lt;=$F39),"■","")</f>
      </c>
      <c r="AX39" s="0">
        <f>IF(AND(AX$9&gt;=$E39,AX$9&lt;=$F39),"■","")</f>
      </c>
      <c r="AY39" s="0">
        <f>IF(AND(AY$9&gt;=$E39,AY$9&lt;=$F39),"■","")</f>
      </c>
      <c r="AZ39" s="0">
        <f>IF(AND(AZ$9&gt;=$E39,AZ$9&lt;=$F39),"■","")</f>
      </c>
      <c r="BA39" s="0">
        <f>IF(AND(BA$9&gt;=$E39,BA$9&lt;=$F39),"■","")</f>
      </c>
      <c r="BB39" s="0">
        <f>IF(AND(BB$9&gt;=$E39,BB$9&lt;=$F39),"■","")</f>
      </c>
      <c r="BC39" s="0">
        <f>IF(AND(BC$9&gt;=$E39,BC$9&lt;=$F39),"■","")</f>
      </c>
      <c r="BD39" s="0">
        <f>IF(AND(BD$9&gt;=$E39,BD$9&lt;=$F39),"■","")</f>
      </c>
      <c r="BE39" s="0">
        <f>IF(AND(BE$9&gt;=$E39,BE$9&lt;=$F39),"■","")</f>
      </c>
      <c r="BF39" s="0">
        <f>IF(AND(BF$9&gt;=$E39,BF$9&lt;=$F39),"■","")</f>
      </c>
      <c r="BG39" s="0">
        <f>IF(AND(BG$9&gt;=$E39,BG$9&lt;=$F39),"■","")</f>
      </c>
      <c r="BH39" s="0">
        <f>IF(AND(BH$9&gt;=$E39,BH$9&lt;=$F39),"■","")</f>
      </c>
      <c r="BI39" s="0">
        <f>IF(AND(BI$9&gt;=$E39,BI$9&lt;=$F39),"■","")</f>
      </c>
      <c r="BJ39" s="0">
        <f>IF(AND(BJ$9&gt;=$E39,BJ$9&lt;=$F39),"■","")</f>
      </c>
      <c r="BK39" s="0">
        <f>IF(AND(BK$9&gt;=$E39,BK$9&lt;=$F39),"■","")</f>
      </c>
      <c r="BL39" s="0">
        <f>IF(AND(BL$9&gt;=$E39,BL$9&lt;=$F39),"■","")</f>
      </c>
      <c r="BM39" s="0">
        <f>IF(AND(BM$9&gt;=$E39,BM$9&lt;=$F39),"■","")</f>
      </c>
      <c r="BN39" s="0">
        <f>IF(AND(BN$9&gt;=$E39,BN$9&lt;=$F39),"■","")</f>
      </c>
      <c r="BO39" s="0">
        <f>IF(AND(BO$9&gt;=$E39,BO$9&lt;=$F39),"■","")</f>
      </c>
      <c r="BP39" s="0">
        <f>IF(AND(BP$9&gt;=$E39,BP$9&lt;=$F39),"■","")</f>
      </c>
      <c r="BQ39" s="0">
        <f>IF(AND(BQ$9&gt;=$E39,BQ$9&lt;=$F39),"■","")</f>
      </c>
      <c r="BR39" s="0">
        <f>IF(AND(BR$9&gt;=$E39,BR$9&lt;=$F39),"■","")</f>
      </c>
      <c r="BS39" s="0">
        <f>IF(AND(BS$9&gt;=$E39,BS$9&lt;=$F39),"■","")</f>
      </c>
      <c r="BT39" s="0">
        <f>IF(AND(BT$9&gt;=$E39,BT$9&lt;=$F39),"■","")</f>
      </c>
      <c r="BU39" s="0">
        <f>IF(AND(BU$9&gt;=$E39,BU$9&lt;=$F39),"■","")</f>
      </c>
      <c r="BV39" s="0">
        <f>IF(AND(BV$9&gt;=$E39,BV$9&lt;=$F39),"■","")</f>
      </c>
      <c r="BW39" s="0">
        <f>IF(AND(BW$9&gt;=$E39,BW$9&lt;=$F39),"■","")</f>
      </c>
    </row>
    <row r="40">
      <c r="A40" s="0" t="inlineStr">
        <is>
          <t>P002-030</t>
        </is>
      </c>
      <c r="B40" s="0" t="inlineStr">
        <is>
          <t/>
        </is>
      </c>
      <c r="C40" s="0" t="inlineStr">
        <is>
          <t/>
        </is>
      </c>
      <c r="D40" s="0" t="inlineStr">
        <is>
          <t/>
        </is>
      </c>
      <c r="E40" s="0" t="inlineStr">
        <is>
          <t/>
        </is>
      </c>
      <c r="F40" s="0" t="inlineStr">
        <is>
          <t/>
        </is>
      </c>
      <c r="G40" s="0" t="inlineStr">
        <is>
          <t/>
        </is>
      </c>
      <c r="H40" s="0" t="inlineStr">
        <is>
          <t/>
        </is>
      </c>
      <c r="I40" s="0" t="inlineStr">
        <is>
          <t/>
        </is>
      </c>
      <c r="J40" s="0">
        <f>SUMIFS('Suivi Temps'!$D:$D,'Suivi Temps'!$A:$A,"P002-030")</f>
      </c>
      <c r="K40" s="0" t="inlineStr">
        <is>
          <t/>
        </is>
      </c>
      <c r="L40" s="0" t="inlineStr">
        <is>
          <t/>
        </is>
      </c>
      <c r="M40" s="0" t="inlineStr">
        <is>
          <t/>
        </is>
      </c>
      <c r="N40" s="0" t="inlineStr">
        <is>
          <t/>
        </is>
      </c>
      <c r="O40" s="0" t="inlineStr">
        <is>
          <t/>
        </is>
      </c>
      <c r="P40" s="0">
        <f>IF(AND(P$9&gt;=$E40,P$9&lt;=$F40),"■","")</f>
      </c>
      <c r="Q40" s="0">
        <f>IF(AND(Q$9&gt;=$E40,Q$9&lt;=$F40),"■","")</f>
      </c>
      <c r="R40" s="0">
        <f>IF(AND(R$9&gt;=$E40,R$9&lt;=$F40),"■","")</f>
      </c>
      <c r="S40" s="0">
        <f>IF(AND(S$9&gt;=$E40,S$9&lt;=$F40),"■","")</f>
      </c>
      <c r="T40" s="0">
        <f>IF(AND(T$9&gt;=$E40,T$9&lt;=$F40),"■","")</f>
      </c>
      <c r="U40" s="0">
        <f>IF(AND(U$9&gt;=$E40,U$9&lt;=$F40),"■","")</f>
      </c>
      <c r="V40" s="0">
        <f>IF(AND(V$9&gt;=$E40,V$9&lt;=$F40),"■","")</f>
      </c>
      <c r="W40" s="0">
        <f>IF(AND(W$9&gt;=$E40,W$9&lt;=$F40),"■","")</f>
      </c>
      <c r="X40" s="0">
        <f>IF(AND(X$9&gt;=$E40,X$9&lt;=$F40),"■","")</f>
      </c>
      <c r="Y40" s="0">
        <f>IF(AND(Y$9&gt;=$E40,Y$9&lt;=$F40),"■","")</f>
      </c>
      <c r="Z40" s="0">
        <f>IF(AND(Z$9&gt;=$E40,Z$9&lt;=$F40),"■","")</f>
      </c>
      <c r="AA40" s="0">
        <f>IF(AND(AA$9&gt;=$E40,AA$9&lt;=$F40),"■","")</f>
      </c>
      <c r="AB40" s="0">
        <f>IF(AND(AB$9&gt;=$E40,AB$9&lt;=$F40),"■","")</f>
      </c>
      <c r="AC40" s="0">
        <f>IF(AND(AC$9&gt;=$E40,AC$9&lt;=$F40),"■","")</f>
      </c>
      <c r="AD40" s="0">
        <f>IF(AND(AD$9&gt;=$E40,AD$9&lt;=$F40),"■","")</f>
      </c>
      <c r="AE40" s="0">
        <f>IF(AND(AE$9&gt;=$E40,AE$9&lt;=$F40),"■","")</f>
      </c>
      <c r="AF40" s="0">
        <f>IF(AND(AF$9&gt;=$E40,AF$9&lt;=$F40),"■","")</f>
      </c>
      <c r="AG40" s="0">
        <f>IF(AND(AG$9&gt;=$E40,AG$9&lt;=$F40),"■","")</f>
      </c>
      <c r="AH40" s="0">
        <f>IF(AND(AH$9&gt;=$E40,AH$9&lt;=$F40),"■","")</f>
      </c>
      <c r="AI40" s="0">
        <f>IF(AND(AI$9&gt;=$E40,AI$9&lt;=$F40),"■","")</f>
      </c>
      <c r="AJ40" s="0">
        <f>IF(AND(AJ$9&gt;=$E40,AJ$9&lt;=$F40),"■","")</f>
      </c>
      <c r="AK40" s="0">
        <f>IF(AND(AK$9&gt;=$E40,AK$9&lt;=$F40),"■","")</f>
      </c>
      <c r="AL40" s="0">
        <f>IF(AND(AL$9&gt;=$E40,AL$9&lt;=$F40),"■","")</f>
      </c>
      <c r="AM40" s="0">
        <f>IF(AND(AM$9&gt;=$E40,AM$9&lt;=$F40),"■","")</f>
      </c>
      <c r="AN40" s="0">
        <f>IF(AND(AN$9&gt;=$E40,AN$9&lt;=$F40),"■","")</f>
      </c>
      <c r="AO40" s="0">
        <f>IF(AND(AO$9&gt;=$E40,AO$9&lt;=$F40),"■","")</f>
      </c>
      <c r="AP40" s="0">
        <f>IF(AND(AP$9&gt;=$E40,AP$9&lt;=$F40),"■","")</f>
      </c>
      <c r="AQ40" s="0">
        <f>IF(AND(AQ$9&gt;=$E40,AQ$9&lt;=$F40),"■","")</f>
      </c>
      <c r="AR40" s="0">
        <f>IF(AND(AR$9&gt;=$E40,AR$9&lt;=$F40),"■","")</f>
      </c>
      <c r="AS40" s="0">
        <f>IF(AND(AS$9&gt;=$E40,AS$9&lt;=$F40),"■","")</f>
      </c>
      <c r="AT40" s="0">
        <f>IF(AND(AT$9&gt;=$E40,AT$9&lt;=$F40),"■","")</f>
      </c>
      <c r="AU40" s="0">
        <f>IF(AND(AU$9&gt;=$E40,AU$9&lt;=$F40),"■","")</f>
      </c>
      <c r="AV40" s="0">
        <f>IF(AND(AV$9&gt;=$E40,AV$9&lt;=$F40),"■","")</f>
      </c>
      <c r="AW40" s="0">
        <f>IF(AND(AW$9&gt;=$E40,AW$9&lt;=$F40),"■","")</f>
      </c>
      <c r="AX40" s="0">
        <f>IF(AND(AX$9&gt;=$E40,AX$9&lt;=$F40),"■","")</f>
      </c>
      <c r="AY40" s="0">
        <f>IF(AND(AY$9&gt;=$E40,AY$9&lt;=$F40),"■","")</f>
      </c>
      <c r="AZ40" s="0">
        <f>IF(AND(AZ$9&gt;=$E40,AZ$9&lt;=$F40),"■","")</f>
      </c>
      <c r="BA40" s="0">
        <f>IF(AND(BA$9&gt;=$E40,BA$9&lt;=$F40),"■","")</f>
      </c>
      <c r="BB40" s="0">
        <f>IF(AND(BB$9&gt;=$E40,BB$9&lt;=$F40),"■","")</f>
      </c>
      <c r="BC40" s="0">
        <f>IF(AND(BC$9&gt;=$E40,BC$9&lt;=$F40),"■","")</f>
      </c>
      <c r="BD40" s="0">
        <f>IF(AND(BD$9&gt;=$E40,BD$9&lt;=$F40),"■","")</f>
      </c>
      <c r="BE40" s="0">
        <f>IF(AND(BE$9&gt;=$E40,BE$9&lt;=$F40),"■","")</f>
      </c>
      <c r="BF40" s="0">
        <f>IF(AND(BF$9&gt;=$E40,BF$9&lt;=$F40),"■","")</f>
      </c>
      <c r="BG40" s="0">
        <f>IF(AND(BG$9&gt;=$E40,BG$9&lt;=$F40),"■","")</f>
      </c>
      <c r="BH40" s="0">
        <f>IF(AND(BH$9&gt;=$E40,BH$9&lt;=$F40),"■","")</f>
      </c>
      <c r="BI40" s="0">
        <f>IF(AND(BI$9&gt;=$E40,BI$9&lt;=$F40),"■","")</f>
      </c>
      <c r="BJ40" s="0">
        <f>IF(AND(BJ$9&gt;=$E40,BJ$9&lt;=$F40),"■","")</f>
      </c>
      <c r="BK40" s="0">
        <f>IF(AND(BK$9&gt;=$E40,BK$9&lt;=$F40),"■","")</f>
      </c>
      <c r="BL40" s="0">
        <f>IF(AND(BL$9&gt;=$E40,BL$9&lt;=$F40),"■","")</f>
      </c>
      <c r="BM40" s="0">
        <f>IF(AND(BM$9&gt;=$E40,BM$9&lt;=$F40),"■","")</f>
      </c>
      <c r="BN40" s="0">
        <f>IF(AND(BN$9&gt;=$E40,BN$9&lt;=$F40),"■","")</f>
      </c>
      <c r="BO40" s="0">
        <f>IF(AND(BO$9&gt;=$E40,BO$9&lt;=$F40),"■","")</f>
      </c>
      <c r="BP40" s="0">
        <f>IF(AND(BP$9&gt;=$E40,BP$9&lt;=$F40),"■","")</f>
      </c>
      <c r="BQ40" s="0">
        <f>IF(AND(BQ$9&gt;=$E40,BQ$9&lt;=$F40),"■","")</f>
      </c>
      <c r="BR40" s="0">
        <f>IF(AND(BR$9&gt;=$E40,BR$9&lt;=$F40),"■","")</f>
      </c>
      <c r="BS40" s="0">
        <f>IF(AND(BS$9&gt;=$E40,BS$9&lt;=$F40),"■","")</f>
      </c>
      <c r="BT40" s="0">
        <f>IF(AND(BT$9&gt;=$E40,BT$9&lt;=$F40),"■","")</f>
      </c>
      <c r="BU40" s="0">
        <f>IF(AND(BU$9&gt;=$E40,BU$9&lt;=$F40),"■","")</f>
      </c>
      <c r="BV40" s="0">
        <f>IF(AND(BV$9&gt;=$E40,BV$9&lt;=$F40),"■","")</f>
      </c>
      <c r="BW40" s="0">
        <f>IF(AND(BW$9&gt;=$E40,BW$9&lt;=$F40),"■","")</f>
      </c>
    </row>
    <row r="41">
      <c r="A41" s="0" t="inlineStr">
        <is>
          <t>P002-031</t>
        </is>
      </c>
      <c r="B41" s="0" t="inlineStr">
        <is>
          <t/>
        </is>
      </c>
      <c r="C41" s="0" t="inlineStr">
        <is>
          <t/>
        </is>
      </c>
      <c r="D41" s="0" t="inlineStr">
        <is>
          <t/>
        </is>
      </c>
      <c r="E41" s="0" t="inlineStr">
        <is>
          <t/>
        </is>
      </c>
      <c r="F41" s="0" t="inlineStr">
        <is>
          <t/>
        </is>
      </c>
      <c r="G41" s="0" t="inlineStr">
        <is>
          <t/>
        </is>
      </c>
      <c r="H41" s="0" t="inlineStr">
        <is>
          <t/>
        </is>
      </c>
      <c r="I41" s="0" t="inlineStr">
        <is>
          <t/>
        </is>
      </c>
      <c r="J41" s="0">
        <f>SUMIFS('Suivi Temps'!$D:$D,'Suivi Temps'!$A:$A,"P002-031")</f>
      </c>
      <c r="K41" s="0" t="inlineStr">
        <is>
          <t/>
        </is>
      </c>
      <c r="L41" s="0" t="inlineStr">
        <is>
          <t/>
        </is>
      </c>
      <c r="M41" s="0" t="inlineStr">
        <is>
          <t/>
        </is>
      </c>
      <c r="N41" s="0" t="inlineStr">
        <is>
          <t/>
        </is>
      </c>
      <c r="O41" s="0" t="inlineStr">
        <is>
          <t/>
        </is>
      </c>
      <c r="P41" s="0">
        <f>IF(AND(P$9&gt;=$E41,P$9&lt;=$F41),"■","")</f>
      </c>
      <c r="Q41" s="0">
        <f>IF(AND(Q$9&gt;=$E41,Q$9&lt;=$F41),"■","")</f>
      </c>
      <c r="R41" s="0">
        <f>IF(AND(R$9&gt;=$E41,R$9&lt;=$F41),"■","")</f>
      </c>
      <c r="S41" s="0">
        <f>IF(AND(S$9&gt;=$E41,S$9&lt;=$F41),"■","")</f>
      </c>
      <c r="T41" s="0">
        <f>IF(AND(T$9&gt;=$E41,T$9&lt;=$F41),"■","")</f>
      </c>
      <c r="U41" s="0">
        <f>IF(AND(U$9&gt;=$E41,U$9&lt;=$F41),"■","")</f>
      </c>
      <c r="V41" s="0">
        <f>IF(AND(V$9&gt;=$E41,V$9&lt;=$F41),"■","")</f>
      </c>
      <c r="W41" s="0">
        <f>IF(AND(W$9&gt;=$E41,W$9&lt;=$F41),"■","")</f>
      </c>
      <c r="X41" s="0">
        <f>IF(AND(X$9&gt;=$E41,X$9&lt;=$F41),"■","")</f>
      </c>
      <c r="Y41" s="0">
        <f>IF(AND(Y$9&gt;=$E41,Y$9&lt;=$F41),"■","")</f>
      </c>
      <c r="Z41" s="0">
        <f>IF(AND(Z$9&gt;=$E41,Z$9&lt;=$F41),"■","")</f>
      </c>
      <c r="AA41" s="0">
        <f>IF(AND(AA$9&gt;=$E41,AA$9&lt;=$F41),"■","")</f>
      </c>
      <c r="AB41" s="0">
        <f>IF(AND(AB$9&gt;=$E41,AB$9&lt;=$F41),"■","")</f>
      </c>
      <c r="AC41" s="0">
        <f>IF(AND(AC$9&gt;=$E41,AC$9&lt;=$F41),"■","")</f>
      </c>
      <c r="AD41" s="0">
        <f>IF(AND(AD$9&gt;=$E41,AD$9&lt;=$F41),"■","")</f>
      </c>
      <c r="AE41" s="0">
        <f>IF(AND(AE$9&gt;=$E41,AE$9&lt;=$F41),"■","")</f>
      </c>
      <c r="AF41" s="0">
        <f>IF(AND(AF$9&gt;=$E41,AF$9&lt;=$F41),"■","")</f>
      </c>
      <c r="AG41" s="0">
        <f>IF(AND(AG$9&gt;=$E41,AG$9&lt;=$F41),"■","")</f>
      </c>
      <c r="AH41" s="0">
        <f>IF(AND(AH$9&gt;=$E41,AH$9&lt;=$F41),"■","")</f>
      </c>
      <c r="AI41" s="0">
        <f>IF(AND(AI$9&gt;=$E41,AI$9&lt;=$F41),"■","")</f>
      </c>
      <c r="AJ41" s="0">
        <f>IF(AND(AJ$9&gt;=$E41,AJ$9&lt;=$F41),"■","")</f>
      </c>
      <c r="AK41" s="0">
        <f>IF(AND(AK$9&gt;=$E41,AK$9&lt;=$F41),"■","")</f>
      </c>
      <c r="AL41" s="0">
        <f>IF(AND(AL$9&gt;=$E41,AL$9&lt;=$F41),"■","")</f>
      </c>
      <c r="AM41" s="0">
        <f>IF(AND(AM$9&gt;=$E41,AM$9&lt;=$F41),"■","")</f>
      </c>
      <c r="AN41" s="0">
        <f>IF(AND(AN$9&gt;=$E41,AN$9&lt;=$F41),"■","")</f>
      </c>
      <c r="AO41" s="0">
        <f>IF(AND(AO$9&gt;=$E41,AO$9&lt;=$F41),"■","")</f>
      </c>
      <c r="AP41" s="0">
        <f>IF(AND(AP$9&gt;=$E41,AP$9&lt;=$F41),"■","")</f>
      </c>
      <c r="AQ41" s="0">
        <f>IF(AND(AQ$9&gt;=$E41,AQ$9&lt;=$F41),"■","")</f>
      </c>
      <c r="AR41" s="0">
        <f>IF(AND(AR$9&gt;=$E41,AR$9&lt;=$F41),"■","")</f>
      </c>
      <c r="AS41" s="0">
        <f>IF(AND(AS$9&gt;=$E41,AS$9&lt;=$F41),"■","")</f>
      </c>
      <c r="AT41" s="0">
        <f>IF(AND(AT$9&gt;=$E41,AT$9&lt;=$F41),"■","")</f>
      </c>
      <c r="AU41" s="0">
        <f>IF(AND(AU$9&gt;=$E41,AU$9&lt;=$F41),"■","")</f>
      </c>
      <c r="AV41" s="0">
        <f>IF(AND(AV$9&gt;=$E41,AV$9&lt;=$F41),"■","")</f>
      </c>
      <c r="AW41" s="0">
        <f>IF(AND(AW$9&gt;=$E41,AW$9&lt;=$F41),"■","")</f>
      </c>
      <c r="AX41" s="0">
        <f>IF(AND(AX$9&gt;=$E41,AX$9&lt;=$F41),"■","")</f>
      </c>
      <c r="AY41" s="0">
        <f>IF(AND(AY$9&gt;=$E41,AY$9&lt;=$F41),"■","")</f>
      </c>
      <c r="AZ41" s="0">
        <f>IF(AND(AZ$9&gt;=$E41,AZ$9&lt;=$F41),"■","")</f>
      </c>
      <c r="BA41" s="0">
        <f>IF(AND(BA$9&gt;=$E41,BA$9&lt;=$F41),"■","")</f>
      </c>
      <c r="BB41" s="0">
        <f>IF(AND(BB$9&gt;=$E41,BB$9&lt;=$F41),"■","")</f>
      </c>
      <c r="BC41" s="0">
        <f>IF(AND(BC$9&gt;=$E41,BC$9&lt;=$F41),"■","")</f>
      </c>
      <c r="BD41" s="0">
        <f>IF(AND(BD$9&gt;=$E41,BD$9&lt;=$F41),"■","")</f>
      </c>
      <c r="BE41" s="0">
        <f>IF(AND(BE$9&gt;=$E41,BE$9&lt;=$F41),"■","")</f>
      </c>
      <c r="BF41" s="0">
        <f>IF(AND(BF$9&gt;=$E41,BF$9&lt;=$F41),"■","")</f>
      </c>
      <c r="BG41" s="0">
        <f>IF(AND(BG$9&gt;=$E41,BG$9&lt;=$F41),"■","")</f>
      </c>
      <c r="BH41" s="0">
        <f>IF(AND(BH$9&gt;=$E41,BH$9&lt;=$F41),"■","")</f>
      </c>
      <c r="BI41" s="0">
        <f>IF(AND(BI$9&gt;=$E41,BI$9&lt;=$F41),"■","")</f>
      </c>
      <c r="BJ41" s="0">
        <f>IF(AND(BJ$9&gt;=$E41,BJ$9&lt;=$F41),"■","")</f>
      </c>
      <c r="BK41" s="0">
        <f>IF(AND(BK$9&gt;=$E41,BK$9&lt;=$F41),"■","")</f>
      </c>
      <c r="BL41" s="0">
        <f>IF(AND(BL$9&gt;=$E41,BL$9&lt;=$F41),"■","")</f>
      </c>
      <c r="BM41" s="0">
        <f>IF(AND(BM$9&gt;=$E41,BM$9&lt;=$F41),"■","")</f>
      </c>
      <c r="BN41" s="0">
        <f>IF(AND(BN$9&gt;=$E41,BN$9&lt;=$F41),"■","")</f>
      </c>
      <c r="BO41" s="0">
        <f>IF(AND(BO$9&gt;=$E41,BO$9&lt;=$F41),"■","")</f>
      </c>
      <c r="BP41" s="0">
        <f>IF(AND(BP$9&gt;=$E41,BP$9&lt;=$F41),"■","")</f>
      </c>
      <c r="BQ41" s="0">
        <f>IF(AND(BQ$9&gt;=$E41,BQ$9&lt;=$F41),"■","")</f>
      </c>
      <c r="BR41" s="0">
        <f>IF(AND(BR$9&gt;=$E41,BR$9&lt;=$F41),"■","")</f>
      </c>
      <c r="BS41" s="0">
        <f>IF(AND(BS$9&gt;=$E41,BS$9&lt;=$F41),"■","")</f>
      </c>
      <c r="BT41" s="0">
        <f>IF(AND(BT$9&gt;=$E41,BT$9&lt;=$F41),"■","")</f>
      </c>
      <c r="BU41" s="0">
        <f>IF(AND(BU$9&gt;=$E41,BU$9&lt;=$F41),"■","")</f>
      </c>
      <c r="BV41" s="0">
        <f>IF(AND(BV$9&gt;=$E41,BV$9&lt;=$F41),"■","")</f>
      </c>
      <c r="BW41" s="0">
        <f>IF(AND(BW$9&gt;=$E41,BW$9&lt;=$F41),"■","")</f>
      </c>
    </row>
    <row r="42">
      <c r="A42" s="0" t="inlineStr">
        <is>
          <t>P002-032</t>
        </is>
      </c>
      <c r="B42" s="0" t="inlineStr">
        <is>
          <t/>
        </is>
      </c>
      <c r="C42" s="0" t="inlineStr">
        <is>
          <t/>
        </is>
      </c>
      <c r="D42" s="0" t="inlineStr">
        <is>
          <t/>
        </is>
      </c>
      <c r="E42" s="0" t="inlineStr">
        <is>
          <t/>
        </is>
      </c>
      <c r="F42" s="0" t="inlineStr">
        <is>
          <t/>
        </is>
      </c>
      <c r="G42" s="0" t="inlineStr">
        <is>
          <t/>
        </is>
      </c>
      <c r="H42" s="0" t="inlineStr">
        <is>
          <t/>
        </is>
      </c>
      <c r="I42" s="0" t="inlineStr">
        <is>
          <t/>
        </is>
      </c>
      <c r="J42" s="0">
        <f>SUMIFS('Suivi Temps'!$D:$D,'Suivi Temps'!$A:$A,"P002-032")</f>
      </c>
      <c r="K42" s="0" t="inlineStr">
        <is>
          <t/>
        </is>
      </c>
      <c r="L42" s="0" t="inlineStr">
        <is>
          <t/>
        </is>
      </c>
      <c r="M42" s="0" t="inlineStr">
        <is>
          <t/>
        </is>
      </c>
      <c r="N42" s="0" t="inlineStr">
        <is>
          <t/>
        </is>
      </c>
      <c r="O42" s="0" t="inlineStr">
        <is>
          <t/>
        </is>
      </c>
      <c r="P42" s="0">
        <f>IF(AND(P$9&gt;=$E42,P$9&lt;=$F42),"■","")</f>
      </c>
      <c r="Q42" s="0">
        <f>IF(AND(Q$9&gt;=$E42,Q$9&lt;=$F42),"■","")</f>
      </c>
      <c r="R42" s="0">
        <f>IF(AND(R$9&gt;=$E42,R$9&lt;=$F42),"■","")</f>
      </c>
      <c r="S42" s="0">
        <f>IF(AND(S$9&gt;=$E42,S$9&lt;=$F42),"■","")</f>
      </c>
      <c r="T42" s="0">
        <f>IF(AND(T$9&gt;=$E42,T$9&lt;=$F42),"■","")</f>
      </c>
      <c r="U42" s="0">
        <f>IF(AND(U$9&gt;=$E42,U$9&lt;=$F42),"■","")</f>
      </c>
      <c r="V42" s="0">
        <f>IF(AND(V$9&gt;=$E42,V$9&lt;=$F42),"■","")</f>
      </c>
      <c r="W42" s="0">
        <f>IF(AND(W$9&gt;=$E42,W$9&lt;=$F42),"■","")</f>
      </c>
      <c r="X42" s="0">
        <f>IF(AND(X$9&gt;=$E42,X$9&lt;=$F42),"■","")</f>
      </c>
      <c r="Y42" s="0">
        <f>IF(AND(Y$9&gt;=$E42,Y$9&lt;=$F42),"■","")</f>
      </c>
      <c r="Z42" s="0">
        <f>IF(AND(Z$9&gt;=$E42,Z$9&lt;=$F42),"■","")</f>
      </c>
      <c r="AA42" s="0">
        <f>IF(AND(AA$9&gt;=$E42,AA$9&lt;=$F42),"■","")</f>
      </c>
      <c r="AB42" s="0">
        <f>IF(AND(AB$9&gt;=$E42,AB$9&lt;=$F42),"■","")</f>
      </c>
      <c r="AC42" s="0">
        <f>IF(AND(AC$9&gt;=$E42,AC$9&lt;=$F42),"■","")</f>
      </c>
      <c r="AD42" s="0">
        <f>IF(AND(AD$9&gt;=$E42,AD$9&lt;=$F42),"■","")</f>
      </c>
      <c r="AE42" s="0">
        <f>IF(AND(AE$9&gt;=$E42,AE$9&lt;=$F42),"■","")</f>
      </c>
      <c r="AF42" s="0">
        <f>IF(AND(AF$9&gt;=$E42,AF$9&lt;=$F42),"■","")</f>
      </c>
      <c r="AG42" s="0">
        <f>IF(AND(AG$9&gt;=$E42,AG$9&lt;=$F42),"■","")</f>
      </c>
      <c r="AH42" s="0">
        <f>IF(AND(AH$9&gt;=$E42,AH$9&lt;=$F42),"■","")</f>
      </c>
      <c r="AI42" s="0">
        <f>IF(AND(AI$9&gt;=$E42,AI$9&lt;=$F42),"■","")</f>
      </c>
      <c r="AJ42" s="0">
        <f>IF(AND(AJ$9&gt;=$E42,AJ$9&lt;=$F42),"■","")</f>
      </c>
      <c r="AK42" s="0">
        <f>IF(AND(AK$9&gt;=$E42,AK$9&lt;=$F42),"■","")</f>
      </c>
      <c r="AL42" s="0">
        <f>IF(AND(AL$9&gt;=$E42,AL$9&lt;=$F42),"■","")</f>
      </c>
      <c r="AM42" s="0">
        <f>IF(AND(AM$9&gt;=$E42,AM$9&lt;=$F42),"■","")</f>
      </c>
      <c r="AN42" s="0">
        <f>IF(AND(AN$9&gt;=$E42,AN$9&lt;=$F42),"■","")</f>
      </c>
      <c r="AO42" s="0">
        <f>IF(AND(AO$9&gt;=$E42,AO$9&lt;=$F42),"■","")</f>
      </c>
      <c r="AP42" s="0">
        <f>IF(AND(AP$9&gt;=$E42,AP$9&lt;=$F42),"■","")</f>
      </c>
      <c r="AQ42" s="0">
        <f>IF(AND(AQ$9&gt;=$E42,AQ$9&lt;=$F42),"■","")</f>
      </c>
      <c r="AR42" s="0">
        <f>IF(AND(AR$9&gt;=$E42,AR$9&lt;=$F42),"■","")</f>
      </c>
      <c r="AS42" s="0">
        <f>IF(AND(AS$9&gt;=$E42,AS$9&lt;=$F42),"■","")</f>
      </c>
      <c r="AT42" s="0">
        <f>IF(AND(AT$9&gt;=$E42,AT$9&lt;=$F42),"■","")</f>
      </c>
      <c r="AU42" s="0">
        <f>IF(AND(AU$9&gt;=$E42,AU$9&lt;=$F42),"■","")</f>
      </c>
      <c r="AV42" s="0">
        <f>IF(AND(AV$9&gt;=$E42,AV$9&lt;=$F42),"■","")</f>
      </c>
      <c r="AW42" s="0">
        <f>IF(AND(AW$9&gt;=$E42,AW$9&lt;=$F42),"■","")</f>
      </c>
      <c r="AX42" s="0">
        <f>IF(AND(AX$9&gt;=$E42,AX$9&lt;=$F42),"■","")</f>
      </c>
      <c r="AY42" s="0">
        <f>IF(AND(AY$9&gt;=$E42,AY$9&lt;=$F42),"■","")</f>
      </c>
      <c r="AZ42" s="0">
        <f>IF(AND(AZ$9&gt;=$E42,AZ$9&lt;=$F42),"■","")</f>
      </c>
      <c r="BA42" s="0">
        <f>IF(AND(BA$9&gt;=$E42,BA$9&lt;=$F42),"■","")</f>
      </c>
      <c r="BB42" s="0">
        <f>IF(AND(BB$9&gt;=$E42,BB$9&lt;=$F42),"■","")</f>
      </c>
      <c r="BC42" s="0">
        <f>IF(AND(BC$9&gt;=$E42,BC$9&lt;=$F42),"■","")</f>
      </c>
      <c r="BD42" s="0">
        <f>IF(AND(BD$9&gt;=$E42,BD$9&lt;=$F42),"■","")</f>
      </c>
      <c r="BE42" s="0">
        <f>IF(AND(BE$9&gt;=$E42,BE$9&lt;=$F42),"■","")</f>
      </c>
      <c r="BF42" s="0">
        <f>IF(AND(BF$9&gt;=$E42,BF$9&lt;=$F42),"■","")</f>
      </c>
      <c r="BG42" s="0">
        <f>IF(AND(BG$9&gt;=$E42,BG$9&lt;=$F42),"■","")</f>
      </c>
      <c r="BH42" s="0">
        <f>IF(AND(BH$9&gt;=$E42,BH$9&lt;=$F42),"■","")</f>
      </c>
      <c r="BI42" s="0">
        <f>IF(AND(BI$9&gt;=$E42,BI$9&lt;=$F42),"■","")</f>
      </c>
      <c r="BJ42" s="0">
        <f>IF(AND(BJ$9&gt;=$E42,BJ$9&lt;=$F42),"■","")</f>
      </c>
      <c r="BK42" s="0">
        <f>IF(AND(BK$9&gt;=$E42,BK$9&lt;=$F42),"■","")</f>
      </c>
      <c r="BL42" s="0">
        <f>IF(AND(BL$9&gt;=$E42,BL$9&lt;=$F42),"■","")</f>
      </c>
      <c r="BM42" s="0">
        <f>IF(AND(BM$9&gt;=$E42,BM$9&lt;=$F42),"■","")</f>
      </c>
      <c r="BN42" s="0">
        <f>IF(AND(BN$9&gt;=$E42,BN$9&lt;=$F42),"■","")</f>
      </c>
      <c r="BO42" s="0">
        <f>IF(AND(BO$9&gt;=$E42,BO$9&lt;=$F42),"■","")</f>
      </c>
      <c r="BP42" s="0">
        <f>IF(AND(BP$9&gt;=$E42,BP$9&lt;=$F42),"■","")</f>
      </c>
      <c r="BQ42" s="0">
        <f>IF(AND(BQ$9&gt;=$E42,BQ$9&lt;=$F42),"■","")</f>
      </c>
      <c r="BR42" s="0">
        <f>IF(AND(BR$9&gt;=$E42,BR$9&lt;=$F42),"■","")</f>
      </c>
      <c r="BS42" s="0">
        <f>IF(AND(BS$9&gt;=$E42,BS$9&lt;=$F42),"■","")</f>
      </c>
      <c r="BT42" s="0">
        <f>IF(AND(BT$9&gt;=$E42,BT$9&lt;=$F42),"■","")</f>
      </c>
      <c r="BU42" s="0">
        <f>IF(AND(BU$9&gt;=$E42,BU$9&lt;=$F42),"■","")</f>
      </c>
      <c r="BV42" s="0">
        <f>IF(AND(BV$9&gt;=$E42,BV$9&lt;=$F42),"■","")</f>
      </c>
      <c r="BW42" s="0">
        <f>IF(AND(BW$9&gt;=$E42,BW$9&lt;=$F42),"■","")</f>
      </c>
    </row>
    <row r="43">
      <c r="A43" s="0" t="inlineStr">
        <is>
          <t>P002-033</t>
        </is>
      </c>
      <c r="B43" s="0" t="inlineStr">
        <is>
          <t/>
        </is>
      </c>
      <c r="C43" s="0" t="inlineStr">
        <is>
          <t/>
        </is>
      </c>
      <c r="D43" s="0" t="inlineStr">
        <is>
          <t/>
        </is>
      </c>
      <c r="E43" s="0" t="inlineStr">
        <is>
          <t/>
        </is>
      </c>
      <c r="F43" s="0" t="inlineStr">
        <is>
          <t/>
        </is>
      </c>
      <c r="G43" s="0" t="inlineStr">
        <is>
          <t/>
        </is>
      </c>
      <c r="H43" s="0" t="inlineStr">
        <is>
          <t/>
        </is>
      </c>
      <c r="I43" s="0" t="inlineStr">
        <is>
          <t/>
        </is>
      </c>
      <c r="J43" s="0">
        <f>SUMIFS('Suivi Temps'!$D:$D,'Suivi Temps'!$A:$A,"P002-033")</f>
      </c>
      <c r="K43" s="0" t="inlineStr">
        <is>
          <t/>
        </is>
      </c>
      <c r="L43" s="0" t="inlineStr">
        <is>
          <t/>
        </is>
      </c>
      <c r="M43" s="0" t="inlineStr">
        <is>
          <t/>
        </is>
      </c>
      <c r="N43" s="0" t="inlineStr">
        <is>
          <t/>
        </is>
      </c>
      <c r="O43" s="0" t="inlineStr">
        <is>
          <t/>
        </is>
      </c>
      <c r="P43" s="0">
        <f>IF(AND(P$9&gt;=$E43,P$9&lt;=$F43),"■","")</f>
      </c>
      <c r="Q43" s="0">
        <f>IF(AND(Q$9&gt;=$E43,Q$9&lt;=$F43),"■","")</f>
      </c>
      <c r="R43" s="0">
        <f>IF(AND(R$9&gt;=$E43,R$9&lt;=$F43),"■","")</f>
      </c>
      <c r="S43" s="0">
        <f>IF(AND(S$9&gt;=$E43,S$9&lt;=$F43),"■","")</f>
      </c>
      <c r="T43" s="0">
        <f>IF(AND(T$9&gt;=$E43,T$9&lt;=$F43),"■","")</f>
      </c>
      <c r="U43" s="0">
        <f>IF(AND(U$9&gt;=$E43,U$9&lt;=$F43),"■","")</f>
      </c>
      <c r="V43" s="0">
        <f>IF(AND(V$9&gt;=$E43,V$9&lt;=$F43),"■","")</f>
      </c>
      <c r="W43" s="0">
        <f>IF(AND(W$9&gt;=$E43,W$9&lt;=$F43),"■","")</f>
      </c>
      <c r="X43" s="0">
        <f>IF(AND(X$9&gt;=$E43,X$9&lt;=$F43),"■","")</f>
      </c>
      <c r="Y43" s="0">
        <f>IF(AND(Y$9&gt;=$E43,Y$9&lt;=$F43),"■","")</f>
      </c>
      <c r="Z43" s="0">
        <f>IF(AND(Z$9&gt;=$E43,Z$9&lt;=$F43),"■","")</f>
      </c>
      <c r="AA43" s="0">
        <f>IF(AND(AA$9&gt;=$E43,AA$9&lt;=$F43),"■","")</f>
      </c>
      <c r="AB43" s="0">
        <f>IF(AND(AB$9&gt;=$E43,AB$9&lt;=$F43),"■","")</f>
      </c>
      <c r="AC43" s="0">
        <f>IF(AND(AC$9&gt;=$E43,AC$9&lt;=$F43),"■","")</f>
      </c>
      <c r="AD43" s="0">
        <f>IF(AND(AD$9&gt;=$E43,AD$9&lt;=$F43),"■","")</f>
      </c>
      <c r="AE43" s="0">
        <f>IF(AND(AE$9&gt;=$E43,AE$9&lt;=$F43),"■","")</f>
      </c>
      <c r="AF43" s="0">
        <f>IF(AND(AF$9&gt;=$E43,AF$9&lt;=$F43),"■","")</f>
      </c>
      <c r="AG43" s="0">
        <f>IF(AND(AG$9&gt;=$E43,AG$9&lt;=$F43),"■","")</f>
      </c>
      <c r="AH43" s="0">
        <f>IF(AND(AH$9&gt;=$E43,AH$9&lt;=$F43),"■","")</f>
      </c>
      <c r="AI43" s="0">
        <f>IF(AND(AI$9&gt;=$E43,AI$9&lt;=$F43),"■","")</f>
      </c>
      <c r="AJ43" s="0">
        <f>IF(AND(AJ$9&gt;=$E43,AJ$9&lt;=$F43),"■","")</f>
      </c>
      <c r="AK43" s="0">
        <f>IF(AND(AK$9&gt;=$E43,AK$9&lt;=$F43),"■","")</f>
      </c>
      <c r="AL43" s="0">
        <f>IF(AND(AL$9&gt;=$E43,AL$9&lt;=$F43),"■","")</f>
      </c>
      <c r="AM43" s="0">
        <f>IF(AND(AM$9&gt;=$E43,AM$9&lt;=$F43),"■","")</f>
      </c>
      <c r="AN43" s="0">
        <f>IF(AND(AN$9&gt;=$E43,AN$9&lt;=$F43),"■","")</f>
      </c>
      <c r="AO43" s="0">
        <f>IF(AND(AO$9&gt;=$E43,AO$9&lt;=$F43),"■","")</f>
      </c>
      <c r="AP43" s="0">
        <f>IF(AND(AP$9&gt;=$E43,AP$9&lt;=$F43),"■","")</f>
      </c>
      <c r="AQ43" s="0">
        <f>IF(AND(AQ$9&gt;=$E43,AQ$9&lt;=$F43),"■","")</f>
      </c>
      <c r="AR43" s="0">
        <f>IF(AND(AR$9&gt;=$E43,AR$9&lt;=$F43),"■","")</f>
      </c>
      <c r="AS43" s="0">
        <f>IF(AND(AS$9&gt;=$E43,AS$9&lt;=$F43),"■","")</f>
      </c>
      <c r="AT43" s="0">
        <f>IF(AND(AT$9&gt;=$E43,AT$9&lt;=$F43),"■","")</f>
      </c>
      <c r="AU43" s="0">
        <f>IF(AND(AU$9&gt;=$E43,AU$9&lt;=$F43),"■","")</f>
      </c>
      <c r="AV43" s="0">
        <f>IF(AND(AV$9&gt;=$E43,AV$9&lt;=$F43),"■","")</f>
      </c>
      <c r="AW43" s="0">
        <f>IF(AND(AW$9&gt;=$E43,AW$9&lt;=$F43),"■","")</f>
      </c>
      <c r="AX43" s="0">
        <f>IF(AND(AX$9&gt;=$E43,AX$9&lt;=$F43),"■","")</f>
      </c>
      <c r="AY43" s="0">
        <f>IF(AND(AY$9&gt;=$E43,AY$9&lt;=$F43),"■","")</f>
      </c>
      <c r="AZ43" s="0">
        <f>IF(AND(AZ$9&gt;=$E43,AZ$9&lt;=$F43),"■","")</f>
      </c>
      <c r="BA43" s="0">
        <f>IF(AND(BA$9&gt;=$E43,BA$9&lt;=$F43),"■","")</f>
      </c>
      <c r="BB43" s="0">
        <f>IF(AND(BB$9&gt;=$E43,BB$9&lt;=$F43),"■","")</f>
      </c>
      <c r="BC43" s="0">
        <f>IF(AND(BC$9&gt;=$E43,BC$9&lt;=$F43),"■","")</f>
      </c>
      <c r="BD43" s="0">
        <f>IF(AND(BD$9&gt;=$E43,BD$9&lt;=$F43),"■","")</f>
      </c>
      <c r="BE43" s="0">
        <f>IF(AND(BE$9&gt;=$E43,BE$9&lt;=$F43),"■","")</f>
      </c>
      <c r="BF43" s="0">
        <f>IF(AND(BF$9&gt;=$E43,BF$9&lt;=$F43),"■","")</f>
      </c>
      <c r="BG43" s="0">
        <f>IF(AND(BG$9&gt;=$E43,BG$9&lt;=$F43),"■","")</f>
      </c>
      <c r="BH43" s="0">
        <f>IF(AND(BH$9&gt;=$E43,BH$9&lt;=$F43),"■","")</f>
      </c>
      <c r="BI43" s="0">
        <f>IF(AND(BI$9&gt;=$E43,BI$9&lt;=$F43),"■","")</f>
      </c>
      <c r="BJ43" s="0">
        <f>IF(AND(BJ$9&gt;=$E43,BJ$9&lt;=$F43),"■","")</f>
      </c>
      <c r="BK43" s="0">
        <f>IF(AND(BK$9&gt;=$E43,BK$9&lt;=$F43),"■","")</f>
      </c>
      <c r="BL43" s="0">
        <f>IF(AND(BL$9&gt;=$E43,BL$9&lt;=$F43),"■","")</f>
      </c>
      <c r="BM43" s="0">
        <f>IF(AND(BM$9&gt;=$E43,BM$9&lt;=$F43),"■","")</f>
      </c>
      <c r="BN43" s="0">
        <f>IF(AND(BN$9&gt;=$E43,BN$9&lt;=$F43),"■","")</f>
      </c>
      <c r="BO43" s="0">
        <f>IF(AND(BO$9&gt;=$E43,BO$9&lt;=$F43),"■","")</f>
      </c>
      <c r="BP43" s="0">
        <f>IF(AND(BP$9&gt;=$E43,BP$9&lt;=$F43),"■","")</f>
      </c>
      <c r="BQ43" s="0">
        <f>IF(AND(BQ$9&gt;=$E43,BQ$9&lt;=$F43),"■","")</f>
      </c>
      <c r="BR43" s="0">
        <f>IF(AND(BR$9&gt;=$E43,BR$9&lt;=$F43),"■","")</f>
      </c>
      <c r="BS43" s="0">
        <f>IF(AND(BS$9&gt;=$E43,BS$9&lt;=$F43),"■","")</f>
      </c>
      <c r="BT43" s="0">
        <f>IF(AND(BT$9&gt;=$E43,BT$9&lt;=$F43),"■","")</f>
      </c>
      <c r="BU43" s="0">
        <f>IF(AND(BU$9&gt;=$E43,BU$9&lt;=$F43),"■","")</f>
      </c>
      <c r="BV43" s="0">
        <f>IF(AND(BV$9&gt;=$E43,BV$9&lt;=$F43),"■","")</f>
      </c>
      <c r="BW43" s="0">
        <f>IF(AND(BW$9&gt;=$E43,BW$9&lt;=$F43),"■","")</f>
      </c>
    </row>
    <row r="44">
      <c r="A44" s="0" t="inlineStr">
        <is>
          <t>P002-034</t>
        </is>
      </c>
      <c r="B44" s="0" t="inlineStr">
        <is>
          <t/>
        </is>
      </c>
      <c r="C44" s="0" t="inlineStr">
        <is>
          <t/>
        </is>
      </c>
      <c r="D44" s="0" t="inlineStr">
        <is>
          <t/>
        </is>
      </c>
      <c r="E44" s="0" t="inlineStr">
        <is>
          <t/>
        </is>
      </c>
      <c r="F44" s="0" t="inlineStr">
        <is>
          <t/>
        </is>
      </c>
      <c r="G44" s="0" t="inlineStr">
        <is>
          <t/>
        </is>
      </c>
      <c r="H44" s="0" t="inlineStr">
        <is>
          <t/>
        </is>
      </c>
      <c r="I44" s="0" t="inlineStr">
        <is>
          <t/>
        </is>
      </c>
      <c r="J44" s="0">
        <f>SUMIFS('Suivi Temps'!$D:$D,'Suivi Temps'!$A:$A,"P002-034")</f>
      </c>
      <c r="K44" s="0" t="inlineStr">
        <is>
          <t/>
        </is>
      </c>
      <c r="L44" s="0" t="inlineStr">
        <is>
          <t/>
        </is>
      </c>
      <c r="M44" s="0" t="inlineStr">
        <is>
          <t/>
        </is>
      </c>
      <c r="N44" s="0" t="inlineStr">
        <is>
          <t/>
        </is>
      </c>
      <c r="O44" s="0" t="inlineStr">
        <is>
          <t/>
        </is>
      </c>
      <c r="P44" s="0">
        <f>IF(AND(P$9&gt;=$E44,P$9&lt;=$F44),"■","")</f>
      </c>
      <c r="Q44" s="0">
        <f>IF(AND(Q$9&gt;=$E44,Q$9&lt;=$F44),"■","")</f>
      </c>
      <c r="R44" s="0">
        <f>IF(AND(R$9&gt;=$E44,R$9&lt;=$F44),"■","")</f>
      </c>
      <c r="S44" s="0">
        <f>IF(AND(S$9&gt;=$E44,S$9&lt;=$F44),"■","")</f>
      </c>
      <c r="T44" s="0">
        <f>IF(AND(T$9&gt;=$E44,T$9&lt;=$F44),"■","")</f>
      </c>
      <c r="U44" s="0">
        <f>IF(AND(U$9&gt;=$E44,U$9&lt;=$F44),"■","")</f>
      </c>
      <c r="V44" s="0">
        <f>IF(AND(V$9&gt;=$E44,V$9&lt;=$F44),"■","")</f>
      </c>
      <c r="W44" s="0">
        <f>IF(AND(W$9&gt;=$E44,W$9&lt;=$F44),"■","")</f>
      </c>
      <c r="X44" s="0">
        <f>IF(AND(X$9&gt;=$E44,X$9&lt;=$F44),"■","")</f>
      </c>
      <c r="Y44" s="0">
        <f>IF(AND(Y$9&gt;=$E44,Y$9&lt;=$F44),"■","")</f>
      </c>
      <c r="Z44" s="0">
        <f>IF(AND(Z$9&gt;=$E44,Z$9&lt;=$F44),"■","")</f>
      </c>
      <c r="AA44" s="0">
        <f>IF(AND(AA$9&gt;=$E44,AA$9&lt;=$F44),"■","")</f>
      </c>
      <c r="AB44" s="0">
        <f>IF(AND(AB$9&gt;=$E44,AB$9&lt;=$F44),"■","")</f>
      </c>
      <c r="AC44" s="0">
        <f>IF(AND(AC$9&gt;=$E44,AC$9&lt;=$F44),"■","")</f>
      </c>
      <c r="AD44" s="0">
        <f>IF(AND(AD$9&gt;=$E44,AD$9&lt;=$F44),"■","")</f>
      </c>
      <c r="AE44" s="0">
        <f>IF(AND(AE$9&gt;=$E44,AE$9&lt;=$F44),"■","")</f>
      </c>
      <c r="AF44" s="0">
        <f>IF(AND(AF$9&gt;=$E44,AF$9&lt;=$F44),"■","")</f>
      </c>
      <c r="AG44" s="0">
        <f>IF(AND(AG$9&gt;=$E44,AG$9&lt;=$F44),"■","")</f>
      </c>
      <c r="AH44" s="0">
        <f>IF(AND(AH$9&gt;=$E44,AH$9&lt;=$F44),"■","")</f>
      </c>
      <c r="AI44" s="0">
        <f>IF(AND(AI$9&gt;=$E44,AI$9&lt;=$F44),"■","")</f>
      </c>
      <c r="AJ44" s="0">
        <f>IF(AND(AJ$9&gt;=$E44,AJ$9&lt;=$F44),"■","")</f>
      </c>
      <c r="AK44" s="0">
        <f>IF(AND(AK$9&gt;=$E44,AK$9&lt;=$F44),"■","")</f>
      </c>
      <c r="AL44" s="0">
        <f>IF(AND(AL$9&gt;=$E44,AL$9&lt;=$F44),"■","")</f>
      </c>
      <c r="AM44" s="0">
        <f>IF(AND(AM$9&gt;=$E44,AM$9&lt;=$F44),"■","")</f>
      </c>
      <c r="AN44" s="0">
        <f>IF(AND(AN$9&gt;=$E44,AN$9&lt;=$F44),"■","")</f>
      </c>
      <c r="AO44" s="0">
        <f>IF(AND(AO$9&gt;=$E44,AO$9&lt;=$F44),"■","")</f>
      </c>
      <c r="AP44" s="0">
        <f>IF(AND(AP$9&gt;=$E44,AP$9&lt;=$F44),"■","")</f>
      </c>
      <c r="AQ44" s="0">
        <f>IF(AND(AQ$9&gt;=$E44,AQ$9&lt;=$F44),"■","")</f>
      </c>
      <c r="AR44" s="0">
        <f>IF(AND(AR$9&gt;=$E44,AR$9&lt;=$F44),"■","")</f>
      </c>
      <c r="AS44" s="0">
        <f>IF(AND(AS$9&gt;=$E44,AS$9&lt;=$F44),"■","")</f>
      </c>
      <c r="AT44" s="0">
        <f>IF(AND(AT$9&gt;=$E44,AT$9&lt;=$F44),"■","")</f>
      </c>
      <c r="AU44" s="0">
        <f>IF(AND(AU$9&gt;=$E44,AU$9&lt;=$F44),"■","")</f>
      </c>
      <c r="AV44" s="0">
        <f>IF(AND(AV$9&gt;=$E44,AV$9&lt;=$F44),"■","")</f>
      </c>
      <c r="AW44" s="0">
        <f>IF(AND(AW$9&gt;=$E44,AW$9&lt;=$F44),"■","")</f>
      </c>
      <c r="AX44" s="0">
        <f>IF(AND(AX$9&gt;=$E44,AX$9&lt;=$F44),"■","")</f>
      </c>
      <c r="AY44" s="0">
        <f>IF(AND(AY$9&gt;=$E44,AY$9&lt;=$F44),"■","")</f>
      </c>
      <c r="AZ44" s="0">
        <f>IF(AND(AZ$9&gt;=$E44,AZ$9&lt;=$F44),"■","")</f>
      </c>
      <c r="BA44" s="0">
        <f>IF(AND(BA$9&gt;=$E44,BA$9&lt;=$F44),"■","")</f>
      </c>
      <c r="BB44" s="0">
        <f>IF(AND(BB$9&gt;=$E44,BB$9&lt;=$F44),"■","")</f>
      </c>
      <c r="BC44" s="0">
        <f>IF(AND(BC$9&gt;=$E44,BC$9&lt;=$F44),"■","")</f>
      </c>
      <c r="BD44" s="0">
        <f>IF(AND(BD$9&gt;=$E44,BD$9&lt;=$F44),"■","")</f>
      </c>
      <c r="BE44" s="0">
        <f>IF(AND(BE$9&gt;=$E44,BE$9&lt;=$F44),"■","")</f>
      </c>
      <c r="BF44" s="0">
        <f>IF(AND(BF$9&gt;=$E44,BF$9&lt;=$F44),"■","")</f>
      </c>
      <c r="BG44" s="0">
        <f>IF(AND(BG$9&gt;=$E44,BG$9&lt;=$F44),"■","")</f>
      </c>
      <c r="BH44" s="0">
        <f>IF(AND(BH$9&gt;=$E44,BH$9&lt;=$F44),"■","")</f>
      </c>
      <c r="BI44" s="0">
        <f>IF(AND(BI$9&gt;=$E44,BI$9&lt;=$F44),"■","")</f>
      </c>
      <c r="BJ44" s="0">
        <f>IF(AND(BJ$9&gt;=$E44,BJ$9&lt;=$F44),"■","")</f>
      </c>
      <c r="BK44" s="0">
        <f>IF(AND(BK$9&gt;=$E44,BK$9&lt;=$F44),"■","")</f>
      </c>
      <c r="BL44" s="0">
        <f>IF(AND(BL$9&gt;=$E44,BL$9&lt;=$F44),"■","")</f>
      </c>
      <c r="BM44" s="0">
        <f>IF(AND(BM$9&gt;=$E44,BM$9&lt;=$F44),"■","")</f>
      </c>
      <c r="BN44" s="0">
        <f>IF(AND(BN$9&gt;=$E44,BN$9&lt;=$F44),"■","")</f>
      </c>
      <c r="BO44" s="0">
        <f>IF(AND(BO$9&gt;=$E44,BO$9&lt;=$F44),"■","")</f>
      </c>
      <c r="BP44" s="0">
        <f>IF(AND(BP$9&gt;=$E44,BP$9&lt;=$F44),"■","")</f>
      </c>
      <c r="BQ44" s="0">
        <f>IF(AND(BQ$9&gt;=$E44,BQ$9&lt;=$F44),"■","")</f>
      </c>
      <c r="BR44" s="0">
        <f>IF(AND(BR$9&gt;=$E44,BR$9&lt;=$F44),"■","")</f>
      </c>
      <c r="BS44" s="0">
        <f>IF(AND(BS$9&gt;=$E44,BS$9&lt;=$F44),"■","")</f>
      </c>
      <c r="BT44" s="0">
        <f>IF(AND(BT$9&gt;=$E44,BT$9&lt;=$F44),"■","")</f>
      </c>
      <c r="BU44" s="0">
        <f>IF(AND(BU$9&gt;=$E44,BU$9&lt;=$F44),"■","")</f>
      </c>
      <c r="BV44" s="0">
        <f>IF(AND(BV$9&gt;=$E44,BV$9&lt;=$F44),"■","")</f>
      </c>
      <c r="BW44" s="0">
        <f>IF(AND(BW$9&gt;=$E44,BW$9&lt;=$F44),"■","")</f>
      </c>
    </row>
    <row r="45">
      <c r="A45" s="0" t="inlineStr">
        <is>
          <t>P002-035</t>
        </is>
      </c>
      <c r="B45" s="0" t="inlineStr">
        <is>
          <t/>
        </is>
      </c>
      <c r="C45" s="0" t="inlineStr">
        <is>
          <t/>
        </is>
      </c>
      <c r="D45" s="0" t="inlineStr">
        <is>
          <t/>
        </is>
      </c>
      <c r="E45" s="0" t="inlineStr">
        <is>
          <t/>
        </is>
      </c>
      <c r="F45" s="0" t="inlineStr">
        <is>
          <t/>
        </is>
      </c>
      <c r="G45" s="0" t="inlineStr">
        <is>
          <t/>
        </is>
      </c>
      <c r="H45" s="0" t="inlineStr">
        <is>
          <t/>
        </is>
      </c>
      <c r="I45" s="0" t="inlineStr">
        <is>
          <t/>
        </is>
      </c>
      <c r="J45" s="0">
        <f>SUMIFS('Suivi Temps'!$D:$D,'Suivi Temps'!$A:$A,"P002-035")</f>
      </c>
      <c r="K45" s="0" t="inlineStr">
        <is>
          <t/>
        </is>
      </c>
      <c r="L45" s="0" t="inlineStr">
        <is>
          <t/>
        </is>
      </c>
      <c r="M45" s="0" t="inlineStr">
        <is>
          <t/>
        </is>
      </c>
      <c r="N45" s="0" t="inlineStr">
        <is>
          <t/>
        </is>
      </c>
      <c r="O45" s="0" t="inlineStr">
        <is>
          <t/>
        </is>
      </c>
      <c r="P45" s="0">
        <f>IF(AND(P$9&gt;=$E45,P$9&lt;=$F45),"■","")</f>
      </c>
      <c r="Q45" s="0">
        <f>IF(AND(Q$9&gt;=$E45,Q$9&lt;=$F45),"■","")</f>
      </c>
      <c r="R45" s="0">
        <f>IF(AND(R$9&gt;=$E45,R$9&lt;=$F45),"■","")</f>
      </c>
      <c r="S45" s="0">
        <f>IF(AND(S$9&gt;=$E45,S$9&lt;=$F45),"■","")</f>
      </c>
      <c r="T45" s="0">
        <f>IF(AND(T$9&gt;=$E45,T$9&lt;=$F45),"■","")</f>
      </c>
      <c r="U45" s="0">
        <f>IF(AND(U$9&gt;=$E45,U$9&lt;=$F45),"■","")</f>
      </c>
      <c r="V45" s="0">
        <f>IF(AND(V$9&gt;=$E45,V$9&lt;=$F45),"■","")</f>
      </c>
      <c r="W45" s="0">
        <f>IF(AND(W$9&gt;=$E45,W$9&lt;=$F45),"■","")</f>
      </c>
      <c r="X45" s="0">
        <f>IF(AND(X$9&gt;=$E45,X$9&lt;=$F45),"■","")</f>
      </c>
      <c r="Y45" s="0">
        <f>IF(AND(Y$9&gt;=$E45,Y$9&lt;=$F45),"■","")</f>
      </c>
      <c r="Z45" s="0">
        <f>IF(AND(Z$9&gt;=$E45,Z$9&lt;=$F45),"■","")</f>
      </c>
      <c r="AA45" s="0">
        <f>IF(AND(AA$9&gt;=$E45,AA$9&lt;=$F45),"■","")</f>
      </c>
      <c r="AB45" s="0">
        <f>IF(AND(AB$9&gt;=$E45,AB$9&lt;=$F45),"■","")</f>
      </c>
      <c r="AC45" s="0">
        <f>IF(AND(AC$9&gt;=$E45,AC$9&lt;=$F45),"■","")</f>
      </c>
      <c r="AD45" s="0">
        <f>IF(AND(AD$9&gt;=$E45,AD$9&lt;=$F45),"■","")</f>
      </c>
      <c r="AE45" s="0">
        <f>IF(AND(AE$9&gt;=$E45,AE$9&lt;=$F45),"■","")</f>
      </c>
      <c r="AF45" s="0">
        <f>IF(AND(AF$9&gt;=$E45,AF$9&lt;=$F45),"■","")</f>
      </c>
      <c r="AG45" s="0">
        <f>IF(AND(AG$9&gt;=$E45,AG$9&lt;=$F45),"■","")</f>
      </c>
      <c r="AH45" s="0">
        <f>IF(AND(AH$9&gt;=$E45,AH$9&lt;=$F45),"■","")</f>
      </c>
      <c r="AI45" s="0">
        <f>IF(AND(AI$9&gt;=$E45,AI$9&lt;=$F45),"■","")</f>
      </c>
      <c r="AJ45" s="0">
        <f>IF(AND(AJ$9&gt;=$E45,AJ$9&lt;=$F45),"■","")</f>
      </c>
      <c r="AK45" s="0">
        <f>IF(AND(AK$9&gt;=$E45,AK$9&lt;=$F45),"■","")</f>
      </c>
      <c r="AL45" s="0">
        <f>IF(AND(AL$9&gt;=$E45,AL$9&lt;=$F45),"■","")</f>
      </c>
      <c r="AM45" s="0">
        <f>IF(AND(AM$9&gt;=$E45,AM$9&lt;=$F45),"■","")</f>
      </c>
      <c r="AN45" s="0">
        <f>IF(AND(AN$9&gt;=$E45,AN$9&lt;=$F45),"■","")</f>
      </c>
      <c r="AO45" s="0">
        <f>IF(AND(AO$9&gt;=$E45,AO$9&lt;=$F45),"■","")</f>
      </c>
      <c r="AP45" s="0">
        <f>IF(AND(AP$9&gt;=$E45,AP$9&lt;=$F45),"■","")</f>
      </c>
      <c r="AQ45" s="0">
        <f>IF(AND(AQ$9&gt;=$E45,AQ$9&lt;=$F45),"■","")</f>
      </c>
      <c r="AR45" s="0">
        <f>IF(AND(AR$9&gt;=$E45,AR$9&lt;=$F45),"■","")</f>
      </c>
      <c r="AS45" s="0">
        <f>IF(AND(AS$9&gt;=$E45,AS$9&lt;=$F45),"■","")</f>
      </c>
      <c r="AT45" s="0">
        <f>IF(AND(AT$9&gt;=$E45,AT$9&lt;=$F45),"■","")</f>
      </c>
      <c r="AU45" s="0">
        <f>IF(AND(AU$9&gt;=$E45,AU$9&lt;=$F45),"■","")</f>
      </c>
      <c r="AV45" s="0">
        <f>IF(AND(AV$9&gt;=$E45,AV$9&lt;=$F45),"■","")</f>
      </c>
      <c r="AW45" s="0">
        <f>IF(AND(AW$9&gt;=$E45,AW$9&lt;=$F45),"■","")</f>
      </c>
      <c r="AX45" s="0">
        <f>IF(AND(AX$9&gt;=$E45,AX$9&lt;=$F45),"■","")</f>
      </c>
      <c r="AY45" s="0">
        <f>IF(AND(AY$9&gt;=$E45,AY$9&lt;=$F45),"■","")</f>
      </c>
      <c r="AZ45" s="0">
        <f>IF(AND(AZ$9&gt;=$E45,AZ$9&lt;=$F45),"■","")</f>
      </c>
      <c r="BA45" s="0">
        <f>IF(AND(BA$9&gt;=$E45,BA$9&lt;=$F45),"■","")</f>
      </c>
      <c r="BB45" s="0">
        <f>IF(AND(BB$9&gt;=$E45,BB$9&lt;=$F45),"■","")</f>
      </c>
      <c r="BC45" s="0">
        <f>IF(AND(BC$9&gt;=$E45,BC$9&lt;=$F45),"■","")</f>
      </c>
      <c r="BD45" s="0">
        <f>IF(AND(BD$9&gt;=$E45,BD$9&lt;=$F45),"■","")</f>
      </c>
      <c r="BE45" s="0">
        <f>IF(AND(BE$9&gt;=$E45,BE$9&lt;=$F45),"■","")</f>
      </c>
      <c r="BF45" s="0">
        <f>IF(AND(BF$9&gt;=$E45,BF$9&lt;=$F45),"■","")</f>
      </c>
      <c r="BG45" s="0">
        <f>IF(AND(BG$9&gt;=$E45,BG$9&lt;=$F45),"■","")</f>
      </c>
      <c r="BH45" s="0">
        <f>IF(AND(BH$9&gt;=$E45,BH$9&lt;=$F45),"■","")</f>
      </c>
      <c r="BI45" s="0">
        <f>IF(AND(BI$9&gt;=$E45,BI$9&lt;=$F45),"■","")</f>
      </c>
      <c r="BJ45" s="0">
        <f>IF(AND(BJ$9&gt;=$E45,BJ$9&lt;=$F45),"■","")</f>
      </c>
      <c r="BK45" s="0">
        <f>IF(AND(BK$9&gt;=$E45,BK$9&lt;=$F45),"■","")</f>
      </c>
      <c r="BL45" s="0">
        <f>IF(AND(BL$9&gt;=$E45,BL$9&lt;=$F45),"■","")</f>
      </c>
      <c r="BM45" s="0">
        <f>IF(AND(BM$9&gt;=$E45,BM$9&lt;=$F45),"■","")</f>
      </c>
      <c r="BN45" s="0">
        <f>IF(AND(BN$9&gt;=$E45,BN$9&lt;=$F45),"■","")</f>
      </c>
      <c r="BO45" s="0">
        <f>IF(AND(BO$9&gt;=$E45,BO$9&lt;=$F45),"■","")</f>
      </c>
      <c r="BP45" s="0">
        <f>IF(AND(BP$9&gt;=$E45,BP$9&lt;=$F45),"■","")</f>
      </c>
      <c r="BQ45" s="0">
        <f>IF(AND(BQ$9&gt;=$E45,BQ$9&lt;=$F45),"■","")</f>
      </c>
      <c r="BR45" s="0">
        <f>IF(AND(BR$9&gt;=$E45,BR$9&lt;=$F45),"■","")</f>
      </c>
      <c r="BS45" s="0">
        <f>IF(AND(BS$9&gt;=$E45,BS$9&lt;=$F45),"■","")</f>
      </c>
      <c r="BT45" s="0">
        <f>IF(AND(BT$9&gt;=$E45,BT$9&lt;=$F45),"■","")</f>
      </c>
      <c r="BU45" s="0">
        <f>IF(AND(BU$9&gt;=$E45,BU$9&lt;=$F45),"■","")</f>
      </c>
      <c r="BV45" s="0">
        <f>IF(AND(BV$9&gt;=$E45,BV$9&lt;=$F45),"■","")</f>
      </c>
      <c r="BW45" s="0">
        <f>IF(AND(BW$9&gt;=$E45,BW$9&lt;=$F45),"■","")</f>
      </c>
    </row>
    <row r="46">
      <c r="A46" s="0" t="inlineStr">
        <is>
          <t>P002-036</t>
        </is>
      </c>
      <c r="B46" s="0" t="inlineStr">
        <is>
          <t/>
        </is>
      </c>
      <c r="C46" s="0" t="inlineStr">
        <is>
          <t/>
        </is>
      </c>
      <c r="D46" s="0" t="inlineStr">
        <is>
          <t/>
        </is>
      </c>
      <c r="E46" s="0" t="inlineStr">
        <is>
          <t/>
        </is>
      </c>
      <c r="F46" s="0" t="inlineStr">
        <is>
          <t/>
        </is>
      </c>
      <c r="G46" s="0" t="inlineStr">
        <is>
          <t/>
        </is>
      </c>
      <c r="H46" s="0" t="inlineStr">
        <is>
          <t/>
        </is>
      </c>
      <c r="I46" s="0" t="inlineStr">
        <is>
          <t/>
        </is>
      </c>
      <c r="J46" s="0">
        <f>SUMIFS('Suivi Temps'!$D:$D,'Suivi Temps'!$A:$A,"P002-036")</f>
      </c>
      <c r="K46" s="0" t="inlineStr">
        <is>
          <t/>
        </is>
      </c>
      <c r="L46" s="0" t="inlineStr">
        <is>
          <t/>
        </is>
      </c>
      <c r="M46" s="0" t="inlineStr">
        <is>
          <t/>
        </is>
      </c>
      <c r="N46" s="0" t="inlineStr">
        <is>
          <t/>
        </is>
      </c>
      <c r="O46" s="0" t="inlineStr">
        <is>
          <t/>
        </is>
      </c>
      <c r="P46" s="0">
        <f>IF(AND(P$9&gt;=$E46,P$9&lt;=$F46),"■","")</f>
      </c>
      <c r="Q46" s="0">
        <f>IF(AND(Q$9&gt;=$E46,Q$9&lt;=$F46),"■","")</f>
      </c>
      <c r="R46" s="0">
        <f>IF(AND(R$9&gt;=$E46,R$9&lt;=$F46),"■","")</f>
      </c>
      <c r="S46" s="0">
        <f>IF(AND(S$9&gt;=$E46,S$9&lt;=$F46),"■","")</f>
      </c>
      <c r="T46" s="0">
        <f>IF(AND(T$9&gt;=$E46,T$9&lt;=$F46),"■","")</f>
      </c>
      <c r="U46" s="0">
        <f>IF(AND(U$9&gt;=$E46,U$9&lt;=$F46),"■","")</f>
      </c>
      <c r="V46" s="0">
        <f>IF(AND(V$9&gt;=$E46,V$9&lt;=$F46),"■","")</f>
      </c>
      <c r="W46" s="0">
        <f>IF(AND(W$9&gt;=$E46,W$9&lt;=$F46),"■","")</f>
      </c>
      <c r="X46" s="0">
        <f>IF(AND(X$9&gt;=$E46,X$9&lt;=$F46),"■","")</f>
      </c>
      <c r="Y46" s="0">
        <f>IF(AND(Y$9&gt;=$E46,Y$9&lt;=$F46),"■","")</f>
      </c>
      <c r="Z46" s="0">
        <f>IF(AND(Z$9&gt;=$E46,Z$9&lt;=$F46),"■","")</f>
      </c>
      <c r="AA46" s="0">
        <f>IF(AND(AA$9&gt;=$E46,AA$9&lt;=$F46),"■","")</f>
      </c>
      <c r="AB46" s="0">
        <f>IF(AND(AB$9&gt;=$E46,AB$9&lt;=$F46),"■","")</f>
      </c>
      <c r="AC46" s="0">
        <f>IF(AND(AC$9&gt;=$E46,AC$9&lt;=$F46),"■","")</f>
      </c>
      <c r="AD46" s="0">
        <f>IF(AND(AD$9&gt;=$E46,AD$9&lt;=$F46),"■","")</f>
      </c>
      <c r="AE46" s="0">
        <f>IF(AND(AE$9&gt;=$E46,AE$9&lt;=$F46),"■","")</f>
      </c>
      <c r="AF46" s="0">
        <f>IF(AND(AF$9&gt;=$E46,AF$9&lt;=$F46),"■","")</f>
      </c>
      <c r="AG46" s="0">
        <f>IF(AND(AG$9&gt;=$E46,AG$9&lt;=$F46),"■","")</f>
      </c>
      <c r="AH46" s="0">
        <f>IF(AND(AH$9&gt;=$E46,AH$9&lt;=$F46),"■","")</f>
      </c>
      <c r="AI46" s="0">
        <f>IF(AND(AI$9&gt;=$E46,AI$9&lt;=$F46),"■","")</f>
      </c>
      <c r="AJ46" s="0">
        <f>IF(AND(AJ$9&gt;=$E46,AJ$9&lt;=$F46),"■","")</f>
      </c>
      <c r="AK46" s="0">
        <f>IF(AND(AK$9&gt;=$E46,AK$9&lt;=$F46),"■","")</f>
      </c>
      <c r="AL46" s="0">
        <f>IF(AND(AL$9&gt;=$E46,AL$9&lt;=$F46),"■","")</f>
      </c>
      <c r="AM46" s="0">
        <f>IF(AND(AM$9&gt;=$E46,AM$9&lt;=$F46),"■","")</f>
      </c>
      <c r="AN46" s="0">
        <f>IF(AND(AN$9&gt;=$E46,AN$9&lt;=$F46),"■","")</f>
      </c>
      <c r="AO46" s="0">
        <f>IF(AND(AO$9&gt;=$E46,AO$9&lt;=$F46),"■","")</f>
      </c>
      <c r="AP46" s="0">
        <f>IF(AND(AP$9&gt;=$E46,AP$9&lt;=$F46),"■","")</f>
      </c>
      <c r="AQ46" s="0">
        <f>IF(AND(AQ$9&gt;=$E46,AQ$9&lt;=$F46),"■","")</f>
      </c>
      <c r="AR46" s="0">
        <f>IF(AND(AR$9&gt;=$E46,AR$9&lt;=$F46),"■","")</f>
      </c>
      <c r="AS46" s="0">
        <f>IF(AND(AS$9&gt;=$E46,AS$9&lt;=$F46),"■","")</f>
      </c>
      <c r="AT46" s="0">
        <f>IF(AND(AT$9&gt;=$E46,AT$9&lt;=$F46),"■","")</f>
      </c>
      <c r="AU46" s="0">
        <f>IF(AND(AU$9&gt;=$E46,AU$9&lt;=$F46),"■","")</f>
      </c>
      <c r="AV46" s="0">
        <f>IF(AND(AV$9&gt;=$E46,AV$9&lt;=$F46),"■","")</f>
      </c>
      <c r="AW46" s="0">
        <f>IF(AND(AW$9&gt;=$E46,AW$9&lt;=$F46),"■","")</f>
      </c>
      <c r="AX46" s="0">
        <f>IF(AND(AX$9&gt;=$E46,AX$9&lt;=$F46),"■","")</f>
      </c>
      <c r="AY46" s="0">
        <f>IF(AND(AY$9&gt;=$E46,AY$9&lt;=$F46),"■","")</f>
      </c>
      <c r="AZ46" s="0">
        <f>IF(AND(AZ$9&gt;=$E46,AZ$9&lt;=$F46),"■","")</f>
      </c>
      <c r="BA46" s="0">
        <f>IF(AND(BA$9&gt;=$E46,BA$9&lt;=$F46),"■","")</f>
      </c>
      <c r="BB46" s="0">
        <f>IF(AND(BB$9&gt;=$E46,BB$9&lt;=$F46),"■","")</f>
      </c>
      <c r="BC46" s="0">
        <f>IF(AND(BC$9&gt;=$E46,BC$9&lt;=$F46),"■","")</f>
      </c>
      <c r="BD46" s="0">
        <f>IF(AND(BD$9&gt;=$E46,BD$9&lt;=$F46),"■","")</f>
      </c>
      <c r="BE46" s="0">
        <f>IF(AND(BE$9&gt;=$E46,BE$9&lt;=$F46),"■","")</f>
      </c>
      <c r="BF46" s="0">
        <f>IF(AND(BF$9&gt;=$E46,BF$9&lt;=$F46),"■","")</f>
      </c>
      <c r="BG46" s="0">
        <f>IF(AND(BG$9&gt;=$E46,BG$9&lt;=$F46),"■","")</f>
      </c>
      <c r="BH46" s="0">
        <f>IF(AND(BH$9&gt;=$E46,BH$9&lt;=$F46),"■","")</f>
      </c>
      <c r="BI46" s="0">
        <f>IF(AND(BI$9&gt;=$E46,BI$9&lt;=$F46),"■","")</f>
      </c>
      <c r="BJ46" s="0">
        <f>IF(AND(BJ$9&gt;=$E46,BJ$9&lt;=$F46),"■","")</f>
      </c>
      <c r="BK46" s="0">
        <f>IF(AND(BK$9&gt;=$E46,BK$9&lt;=$F46),"■","")</f>
      </c>
      <c r="BL46" s="0">
        <f>IF(AND(BL$9&gt;=$E46,BL$9&lt;=$F46),"■","")</f>
      </c>
      <c r="BM46" s="0">
        <f>IF(AND(BM$9&gt;=$E46,BM$9&lt;=$F46),"■","")</f>
      </c>
      <c r="BN46" s="0">
        <f>IF(AND(BN$9&gt;=$E46,BN$9&lt;=$F46),"■","")</f>
      </c>
      <c r="BO46" s="0">
        <f>IF(AND(BO$9&gt;=$E46,BO$9&lt;=$F46),"■","")</f>
      </c>
      <c r="BP46" s="0">
        <f>IF(AND(BP$9&gt;=$E46,BP$9&lt;=$F46),"■","")</f>
      </c>
      <c r="BQ46" s="0">
        <f>IF(AND(BQ$9&gt;=$E46,BQ$9&lt;=$F46),"■","")</f>
      </c>
      <c r="BR46" s="0">
        <f>IF(AND(BR$9&gt;=$E46,BR$9&lt;=$F46),"■","")</f>
      </c>
      <c r="BS46" s="0">
        <f>IF(AND(BS$9&gt;=$E46,BS$9&lt;=$F46),"■","")</f>
      </c>
      <c r="BT46" s="0">
        <f>IF(AND(BT$9&gt;=$E46,BT$9&lt;=$F46),"■","")</f>
      </c>
      <c r="BU46" s="0">
        <f>IF(AND(BU$9&gt;=$E46,BU$9&lt;=$F46),"■","")</f>
      </c>
      <c r="BV46" s="0">
        <f>IF(AND(BV$9&gt;=$E46,BV$9&lt;=$F46),"■","")</f>
      </c>
      <c r="BW46" s="0">
        <f>IF(AND(BW$9&gt;=$E46,BW$9&lt;=$F46),"■","")</f>
      </c>
    </row>
    <row r="47">
      <c r="A47" s="0" t="inlineStr">
        <is>
          <t>P002-037</t>
        </is>
      </c>
      <c r="B47" s="0" t="inlineStr">
        <is>
          <t/>
        </is>
      </c>
      <c r="C47" s="0" t="inlineStr">
        <is>
          <t/>
        </is>
      </c>
      <c r="D47" s="0" t="inlineStr">
        <is>
          <t/>
        </is>
      </c>
      <c r="E47" s="0" t="inlineStr">
        <is>
          <t/>
        </is>
      </c>
      <c r="F47" s="0" t="inlineStr">
        <is>
          <t/>
        </is>
      </c>
      <c r="G47" s="0" t="inlineStr">
        <is>
          <t/>
        </is>
      </c>
      <c r="H47" s="0" t="inlineStr">
        <is>
          <t/>
        </is>
      </c>
      <c r="I47" s="0" t="inlineStr">
        <is>
          <t/>
        </is>
      </c>
      <c r="J47" s="0">
        <f>SUMIFS('Suivi Temps'!$D:$D,'Suivi Temps'!$A:$A,"P002-037")</f>
      </c>
      <c r="K47" s="0" t="inlineStr">
        <is>
          <t/>
        </is>
      </c>
      <c r="L47" s="0" t="inlineStr">
        <is>
          <t/>
        </is>
      </c>
      <c r="M47" s="0" t="inlineStr">
        <is>
          <t/>
        </is>
      </c>
      <c r="N47" s="0" t="inlineStr">
        <is>
          <t/>
        </is>
      </c>
      <c r="O47" s="0" t="inlineStr">
        <is>
          <t/>
        </is>
      </c>
      <c r="P47" s="0">
        <f>IF(AND(P$9&gt;=$E47,P$9&lt;=$F47),"■","")</f>
      </c>
      <c r="Q47" s="0">
        <f>IF(AND(Q$9&gt;=$E47,Q$9&lt;=$F47),"■","")</f>
      </c>
      <c r="R47" s="0">
        <f>IF(AND(R$9&gt;=$E47,R$9&lt;=$F47),"■","")</f>
      </c>
      <c r="S47" s="0">
        <f>IF(AND(S$9&gt;=$E47,S$9&lt;=$F47),"■","")</f>
      </c>
      <c r="T47" s="0">
        <f>IF(AND(T$9&gt;=$E47,T$9&lt;=$F47),"■","")</f>
      </c>
      <c r="U47" s="0">
        <f>IF(AND(U$9&gt;=$E47,U$9&lt;=$F47),"■","")</f>
      </c>
      <c r="V47" s="0">
        <f>IF(AND(V$9&gt;=$E47,V$9&lt;=$F47),"■","")</f>
      </c>
      <c r="W47" s="0">
        <f>IF(AND(W$9&gt;=$E47,W$9&lt;=$F47),"■","")</f>
      </c>
      <c r="X47" s="0">
        <f>IF(AND(X$9&gt;=$E47,X$9&lt;=$F47),"■","")</f>
      </c>
      <c r="Y47" s="0">
        <f>IF(AND(Y$9&gt;=$E47,Y$9&lt;=$F47),"■","")</f>
      </c>
      <c r="Z47" s="0">
        <f>IF(AND(Z$9&gt;=$E47,Z$9&lt;=$F47),"■","")</f>
      </c>
      <c r="AA47" s="0">
        <f>IF(AND(AA$9&gt;=$E47,AA$9&lt;=$F47),"■","")</f>
      </c>
      <c r="AB47" s="0">
        <f>IF(AND(AB$9&gt;=$E47,AB$9&lt;=$F47),"■","")</f>
      </c>
      <c r="AC47" s="0">
        <f>IF(AND(AC$9&gt;=$E47,AC$9&lt;=$F47),"■","")</f>
      </c>
      <c r="AD47" s="0">
        <f>IF(AND(AD$9&gt;=$E47,AD$9&lt;=$F47),"■","")</f>
      </c>
      <c r="AE47" s="0">
        <f>IF(AND(AE$9&gt;=$E47,AE$9&lt;=$F47),"■","")</f>
      </c>
      <c r="AF47" s="0">
        <f>IF(AND(AF$9&gt;=$E47,AF$9&lt;=$F47),"■","")</f>
      </c>
      <c r="AG47" s="0">
        <f>IF(AND(AG$9&gt;=$E47,AG$9&lt;=$F47),"■","")</f>
      </c>
      <c r="AH47" s="0">
        <f>IF(AND(AH$9&gt;=$E47,AH$9&lt;=$F47),"■","")</f>
      </c>
      <c r="AI47" s="0">
        <f>IF(AND(AI$9&gt;=$E47,AI$9&lt;=$F47),"■","")</f>
      </c>
      <c r="AJ47" s="0">
        <f>IF(AND(AJ$9&gt;=$E47,AJ$9&lt;=$F47),"■","")</f>
      </c>
      <c r="AK47" s="0">
        <f>IF(AND(AK$9&gt;=$E47,AK$9&lt;=$F47),"■","")</f>
      </c>
      <c r="AL47" s="0">
        <f>IF(AND(AL$9&gt;=$E47,AL$9&lt;=$F47),"■","")</f>
      </c>
      <c r="AM47" s="0">
        <f>IF(AND(AM$9&gt;=$E47,AM$9&lt;=$F47),"■","")</f>
      </c>
      <c r="AN47" s="0">
        <f>IF(AND(AN$9&gt;=$E47,AN$9&lt;=$F47),"■","")</f>
      </c>
      <c r="AO47" s="0">
        <f>IF(AND(AO$9&gt;=$E47,AO$9&lt;=$F47),"■","")</f>
      </c>
      <c r="AP47" s="0">
        <f>IF(AND(AP$9&gt;=$E47,AP$9&lt;=$F47),"■","")</f>
      </c>
      <c r="AQ47" s="0">
        <f>IF(AND(AQ$9&gt;=$E47,AQ$9&lt;=$F47),"■","")</f>
      </c>
      <c r="AR47" s="0">
        <f>IF(AND(AR$9&gt;=$E47,AR$9&lt;=$F47),"■","")</f>
      </c>
      <c r="AS47" s="0">
        <f>IF(AND(AS$9&gt;=$E47,AS$9&lt;=$F47),"■","")</f>
      </c>
      <c r="AT47" s="0">
        <f>IF(AND(AT$9&gt;=$E47,AT$9&lt;=$F47),"■","")</f>
      </c>
      <c r="AU47" s="0">
        <f>IF(AND(AU$9&gt;=$E47,AU$9&lt;=$F47),"■","")</f>
      </c>
      <c r="AV47" s="0">
        <f>IF(AND(AV$9&gt;=$E47,AV$9&lt;=$F47),"■","")</f>
      </c>
      <c r="AW47" s="0">
        <f>IF(AND(AW$9&gt;=$E47,AW$9&lt;=$F47),"■","")</f>
      </c>
      <c r="AX47" s="0">
        <f>IF(AND(AX$9&gt;=$E47,AX$9&lt;=$F47),"■","")</f>
      </c>
      <c r="AY47" s="0">
        <f>IF(AND(AY$9&gt;=$E47,AY$9&lt;=$F47),"■","")</f>
      </c>
      <c r="AZ47" s="0">
        <f>IF(AND(AZ$9&gt;=$E47,AZ$9&lt;=$F47),"■","")</f>
      </c>
      <c r="BA47" s="0">
        <f>IF(AND(BA$9&gt;=$E47,BA$9&lt;=$F47),"■","")</f>
      </c>
      <c r="BB47" s="0">
        <f>IF(AND(BB$9&gt;=$E47,BB$9&lt;=$F47),"■","")</f>
      </c>
      <c r="BC47" s="0">
        <f>IF(AND(BC$9&gt;=$E47,BC$9&lt;=$F47),"■","")</f>
      </c>
      <c r="BD47" s="0">
        <f>IF(AND(BD$9&gt;=$E47,BD$9&lt;=$F47),"■","")</f>
      </c>
      <c r="BE47" s="0">
        <f>IF(AND(BE$9&gt;=$E47,BE$9&lt;=$F47),"■","")</f>
      </c>
      <c r="BF47" s="0">
        <f>IF(AND(BF$9&gt;=$E47,BF$9&lt;=$F47),"■","")</f>
      </c>
      <c r="BG47" s="0">
        <f>IF(AND(BG$9&gt;=$E47,BG$9&lt;=$F47),"■","")</f>
      </c>
      <c r="BH47" s="0">
        <f>IF(AND(BH$9&gt;=$E47,BH$9&lt;=$F47),"■","")</f>
      </c>
      <c r="BI47" s="0">
        <f>IF(AND(BI$9&gt;=$E47,BI$9&lt;=$F47),"■","")</f>
      </c>
      <c r="BJ47" s="0">
        <f>IF(AND(BJ$9&gt;=$E47,BJ$9&lt;=$F47),"■","")</f>
      </c>
      <c r="BK47" s="0">
        <f>IF(AND(BK$9&gt;=$E47,BK$9&lt;=$F47),"■","")</f>
      </c>
      <c r="BL47" s="0">
        <f>IF(AND(BL$9&gt;=$E47,BL$9&lt;=$F47),"■","")</f>
      </c>
      <c r="BM47" s="0">
        <f>IF(AND(BM$9&gt;=$E47,BM$9&lt;=$F47),"■","")</f>
      </c>
      <c r="BN47" s="0">
        <f>IF(AND(BN$9&gt;=$E47,BN$9&lt;=$F47),"■","")</f>
      </c>
      <c r="BO47" s="0">
        <f>IF(AND(BO$9&gt;=$E47,BO$9&lt;=$F47),"■","")</f>
      </c>
      <c r="BP47" s="0">
        <f>IF(AND(BP$9&gt;=$E47,BP$9&lt;=$F47),"■","")</f>
      </c>
      <c r="BQ47" s="0">
        <f>IF(AND(BQ$9&gt;=$E47,BQ$9&lt;=$F47),"■","")</f>
      </c>
      <c r="BR47" s="0">
        <f>IF(AND(BR$9&gt;=$E47,BR$9&lt;=$F47),"■","")</f>
      </c>
      <c r="BS47" s="0">
        <f>IF(AND(BS$9&gt;=$E47,BS$9&lt;=$F47),"■","")</f>
      </c>
      <c r="BT47" s="0">
        <f>IF(AND(BT$9&gt;=$E47,BT$9&lt;=$F47),"■","")</f>
      </c>
      <c r="BU47" s="0">
        <f>IF(AND(BU$9&gt;=$E47,BU$9&lt;=$F47),"■","")</f>
      </c>
      <c r="BV47" s="0">
        <f>IF(AND(BV$9&gt;=$E47,BV$9&lt;=$F47),"■","")</f>
      </c>
      <c r="BW47" s="0">
        <f>IF(AND(BW$9&gt;=$E47,BW$9&lt;=$F47),"■","")</f>
      </c>
    </row>
    <row r="48">
      <c r="A48" s="0" t="inlineStr">
        <is>
          <t>P002-038</t>
        </is>
      </c>
      <c r="B48" s="0" t="inlineStr">
        <is>
          <t/>
        </is>
      </c>
      <c r="C48" s="0" t="inlineStr">
        <is>
          <t/>
        </is>
      </c>
      <c r="D48" s="0" t="inlineStr">
        <is>
          <t/>
        </is>
      </c>
      <c r="E48" s="0" t="inlineStr">
        <is>
          <t/>
        </is>
      </c>
      <c r="F48" s="0" t="inlineStr">
        <is>
          <t/>
        </is>
      </c>
      <c r="G48" s="0" t="inlineStr">
        <is>
          <t/>
        </is>
      </c>
      <c r="H48" s="0" t="inlineStr">
        <is>
          <t/>
        </is>
      </c>
      <c r="I48" s="0" t="inlineStr">
        <is>
          <t/>
        </is>
      </c>
      <c r="J48" s="0">
        <f>SUMIFS('Suivi Temps'!$D:$D,'Suivi Temps'!$A:$A,"P002-038")</f>
      </c>
      <c r="K48" s="0" t="inlineStr">
        <is>
          <t/>
        </is>
      </c>
      <c r="L48" s="0" t="inlineStr">
        <is>
          <t/>
        </is>
      </c>
      <c r="M48" s="0" t="inlineStr">
        <is>
          <t/>
        </is>
      </c>
      <c r="N48" s="0" t="inlineStr">
        <is>
          <t/>
        </is>
      </c>
      <c r="O48" s="0" t="inlineStr">
        <is>
          <t/>
        </is>
      </c>
      <c r="P48" s="0">
        <f>IF(AND(P$9&gt;=$E48,P$9&lt;=$F48),"■","")</f>
      </c>
      <c r="Q48" s="0">
        <f>IF(AND(Q$9&gt;=$E48,Q$9&lt;=$F48),"■","")</f>
      </c>
      <c r="R48" s="0">
        <f>IF(AND(R$9&gt;=$E48,R$9&lt;=$F48),"■","")</f>
      </c>
      <c r="S48" s="0">
        <f>IF(AND(S$9&gt;=$E48,S$9&lt;=$F48),"■","")</f>
      </c>
      <c r="T48" s="0">
        <f>IF(AND(T$9&gt;=$E48,T$9&lt;=$F48),"■","")</f>
      </c>
      <c r="U48" s="0">
        <f>IF(AND(U$9&gt;=$E48,U$9&lt;=$F48),"■","")</f>
      </c>
      <c r="V48" s="0">
        <f>IF(AND(V$9&gt;=$E48,V$9&lt;=$F48),"■","")</f>
      </c>
      <c r="W48" s="0">
        <f>IF(AND(W$9&gt;=$E48,W$9&lt;=$F48),"■","")</f>
      </c>
      <c r="X48" s="0">
        <f>IF(AND(X$9&gt;=$E48,X$9&lt;=$F48),"■","")</f>
      </c>
      <c r="Y48" s="0">
        <f>IF(AND(Y$9&gt;=$E48,Y$9&lt;=$F48),"■","")</f>
      </c>
      <c r="Z48" s="0">
        <f>IF(AND(Z$9&gt;=$E48,Z$9&lt;=$F48),"■","")</f>
      </c>
      <c r="AA48" s="0">
        <f>IF(AND(AA$9&gt;=$E48,AA$9&lt;=$F48),"■","")</f>
      </c>
      <c r="AB48" s="0">
        <f>IF(AND(AB$9&gt;=$E48,AB$9&lt;=$F48),"■","")</f>
      </c>
      <c r="AC48" s="0">
        <f>IF(AND(AC$9&gt;=$E48,AC$9&lt;=$F48),"■","")</f>
      </c>
      <c r="AD48" s="0">
        <f>IF(AND(AD$9&gt;=$E48,AD$9&lt;=$F48),"■","")</f>
      </c>
      <c r="AE48" s="0">
        <f>IF(AND(AE$9&gt;=$E48,AE$9&lt;=$F48),"■","")</f>
      </c>
      <c r="AF48" s="0">
        <f>IF(AND(AF$9&gt;=$E48,AF$9&lt;=$F48),"■","")</f>
      </c>
      <c r="AG48" s="0">
        <f>IF(AND(AG$9&gt;=$E48,AG$9&lt;=$F48),"■","")</f>
      </c>
      <c r="AH48" s="0">
        <f>IF(AND(AH$9&gt;=$E48,AH$9&lt;=$F48),"■","")</f>
      </c>
      <c r="AI48" s="0">
        <f>IF(AND(AI$9&gt;=$E48,AI$9&lt;=$F48),"■","")</f>
      </c>
      <c r="AJ48" s="0">
        <f>IF(AND(AJ$9&gt;=$E48,AJ$9&lt;=$F48),"■","")</f>
      </c>
      <c r="AK48" s="0">
        <f>IF(AND(AK$9&gt;=$E48,AK$9&lt;=$F48),"■","")</f>
      </c>
      <c r="AL48" s="0">
        <f>IF(AND(AL$9&gt;=$E48,AL$9&lt;=$F48),"■","")</f>
      </c>
      <c r="AM48" s="0">
        <f>IF(AND(AM$9&gt;=$E48,AM$9&lt;=$F48),"■","")</f>
      </c>
      <c r="AN48" s="0">
        <f>IF(AND(AN$9&gt;=$E48,AN$9&lt;=$F48),"■","")</f>
      </c>
      <c r="AO48" s="0">
        <f>IF(AND(AO$9&gt;=$E48,AO$9&lt;=$F48),"■","")</f>
      </c>
      <c r="AP48" s="0">
        <f>IF(AND(AP$9&gt;=$E48,AP$9&lt;=$F48),"■","")</f>
      </c>
      <c r="AQ48" s="0">
        <f>IF(AND(AQ$9&gt;=$E48,AQ$9&lt;=$F48),"■","")</f>
      </c>
      <c r="AR48" s="0">
        <f>IF(AND(AR$9&gt;=$E48,AR$9&lt;=$F48),"■","")</f>
      </c>
      <c r="AS48" s="0">
        <f>IF(AND(AS$9&gt;=$E48,AS$9&lt;=$F48),"■","")</f>
      </c>
      <c r="AT48" s="0">
        <f>IF(AND(AT$9&gt;=$E48,AT$9&lt;=$F48),"■","")</f>
      </c>
      <c r="AU48" s="0">
        <f>IF(AND(AU$9&gt;=$E48,AU$9&lt;=$F48),"■","")</f>
      </c>
      <c r="AV48" s="0">
        <f>IF(AND(AV$9&gt;=$E48,AV$9&lt;=$F48),"■","")</f>
      </c>
      <c r="AW48" s="0">
        <f>IF(AND(AW$9&gt;=$E48,AW$9&lt;=$F48),"■","")</f>
      </c>
      <c r="AX48" s="0">
        <f>IF(AND(AX$9&gt;=$E48,AX$9&lt;=$F48),"■","")</f>
      </c>
      <c r="AY48" s="0">
        <f>IF(AND(AY$9&gt;=$E48,AY$9&lt;=$F48),"■","")</f>
      </c>
      <c r="AZ48" s="0">
        <f>IF(AND(AZ$9&gt;=$E48,AZ$9&lt;=$F48),"■","")</f>
      </c>
      <c r="BA48" s="0">
        <f>IF(AND(BA$9&gt;=$E48,BA$9&lt;=$F48),"■","")</f>
      </c>
      <c r="BB48" s="0">
        <f>IF(AND(BB$9&gt;=$E48,BB$9&lt;=$F48),"■","")</f>
      </c>
      <c r="BC48" s="0">
        <f>IF(AND(BC$9&gt;=$E48,BC$9&lt;=$F48),"■","")</f>
      </c>
      <c r="BD48" s="0">
        <f>IF(AND(BD$9&gt;=$E48,BD$9&lt;=$F48),"■","")</f>
      </c>
      <c r="BE48" s="0">
        <f>IF(AND(BE$9&gt;=$E48,BE$9&lt;=$F48),"■","")</f>
      </c>
      <c r="BF48" s="0">
        <f>IF(AND(BF$9&gt;=$E48,BF$9&lt;=$F48),"■","")</f>
      </c>
      <c r="BG48" s="0">
        <f>IF(AND(BG$9&gt;=$E48,BG$9&lt;=$F48),"■","")</f>
      </c>
      <c r="BH48" s="0">
        <f>IF(AND(BH$9&gt;=$E48,BH$9&lt;=$F48),"■","")</f>
      </c>
      <c r="BI48" s="0">
        <f>IF(AND(BI$9&gt;=$E48,BI$9&lt;=$F48),"■","")</f>
      </c>
      <c r="BJ48" s="0">
        <f>IF(AND(BJ$9&gt;=$E48,BJ$9&lt;=$F48),"■","")</f>
      </c>
      <c r="BK48" s="0">
        <f>IF(AND(BK$9&gt;=$E48,BK$9&lt;=$F48),"■","")</f>
      </c>
      <c r="BL48" s="0">
        <f>IF(AND(BL$9&gt;=$E48,BL$9&lt;=$F48),"■","")</f>
      </c>
      <c r="BM48" s="0">
        <f>IF(AND(BM$9&gt;=$E48,BM$9&lt;=$F48),"■","")</f>
      </c>
      <c r="BN48" s="0">
        <f>IF(AND(BN$9&gt;=$E48,BN$9&lt;=$F48),"■","")</f>
      </c>
      <c r="BO48" s="0">
        <f>IF(AND(BO$9&gt;=$E48,BO$9&lt;=$F48),"■","")</f>
      </c>
      <c r="BP48" s="0">
        <f>IF(AND(BP$9&gt;=$E48,BP$9&lt;=$F48),"■","")</f>
      </c>
      <c r="BQ48" s="0">
        <f>IF(AND(BQ$9&gt;=$E48,BQ$9&lt;=$F48),"■","")</f>
      </c>
      <c r="BR48" s="0">
        <f>IF(AND(BR$9&gt;=$E48,BR$9&lt;=$F48),"■","")</f>
      </c>
      <c r="BS48" s="0">
        <f>IF(AND(BS$9&gt;=$E48,BS$9&lt;=$F48),"■","")</f>
      </c>
      <c r="BT48" s="0">
        <f>IF(AND(BT$9&gt;=$E48,BT$9&lt;=$F48),"■","")</f>
      </c>
      <c r="BU48" s="0">
        <f>IF(AND(BU$9&gt;=$E48,BU$9&lt;=$F48),"■","")</f>
      </c>
      <c r="BV48" s="0">
        <f>IF(AND(BV$9&gt;=$E48,BV$9&lt;=$F48),"■","")</f>
      </c>
      <c r="BW48" s="0">
        <f>IF(AND(BW$9&gt;=$E48,BW$9&lt;=$F48),"■","")</f>
      </c>
    </row>
    <row r="49">
      <c r="A49" s="0" t="inlineStr">
        <is>
          <t>P002-039</t>
        </is>
      </c>
      <c r="B49" s="0" t="inlineStr">
        <is>
          <t/>
        </is>
      </c>
      <c r="C49" s="0" t="inlineStr">
        <is>
          <t/>
        </is>
      </c>
      <c r="D49" s="0" t="inlineStr">
        <is>
          <t/>
        </is>
      </c>
      <c r="E49" s="0" t="inlineStr">
        <is>
          <t/>
        </is>
      </c>
      <c r="F49" s="0" t="inlineStr">
        <is>
          <t/>
        </is>
      </c>
      <c r="G49" s="0" t="inlineStr">
        <is>
          <t/>
        </is>
      </c>
      <c r="H49" s="0" t="inlineStr">
        <is>
          <t/>
        </is>
      </c>
      <c r="I49" s="0" t="inlineStr">
        <is>
          <t/>
        </is>
      </c>
      <c r="J49" s="0">
        <f>SUMIFS('Suivi Temps'!$D:$D,'Suivi Temps'!$A:$A,"P002-039")</f>
      </c>
      <c r="K49" s="0" t="inlineStr">
        <is>
          <t/>
        </is>
      </c>
      <c r="L49" s="0" t="inlineStr">
        <is>
          <t/>
        </is>
      </c>
      <c r="M49" s="0" t="inlineStr">
        <is>
          <t/>
        </is>
      </c>
      <c r="N49" s="0" t="inlineStr">
        <is>
          <t/>
        </is>
      </c>
      <c r="O49" s="0" t="inlineStr">
        <is>
          <t/>
        </is>
      </c>
      <c r="P49" s="0">
        <f>IF(AND(P$9&gt;=$E49,P$9&lt;=$F49),"■","")</f>
      </c>
      <c r="Q49" s="0">
        <f>IF(AND(Q$9&gt;=$E49,Q$9&lt;=$F49),"■","")</f>
      </c>
      <c r="R49" s="0">
        <f>IF(AND(R$9&gt;=$E49,R$9&lt;=$F49),"■","")</f>
      </c>
      <c r="S49" s="0">
        <f>IF(AND(S$9&gt;=$E49,S$9&lt;=$F49),"■","")</f>
      </c>
      <c r="T49" s="0">
        <f>IF(AND(T$9&gt;=$E49,T$9&lt;=$F49),"■","")</f>
      </c>
      <c r="U49" s="0">
        <f>IF(AND(U$9&gt;=$E49,U$9&lt;=$F49),"■","")</f>
      </c>
      <c r="V49" s="0">
        <f>IF(AND(V$9&gt;=$E49,V$9&lt;=$F49),"■","")</f>
      </c>
      <c r="W49" s="0">
        <f>IF(AND(W$9&gt;=$E49,W$9&lt;=$F49),"■","")</f>
      </c>
      <c r="X49" s="0">
        <f>IF(AND(X$9&gt;=$E49,X$9&lt;=$F49),"■","")</f>
      </c>
      <c r="Y49" s="0">
        <f>IF(AND(Y$9&gt;=$E49,Y$9&lt;=$F49),"■","")</f>
      </c>
      <c r="Z49" s="0">
        <f>IF(AND(Z$9&gt;=$E49,Z$9&lt;=$F49),"■","")</f>
      </c>
      <c r="AA49" s="0">
        <f>IF(AND(AA$9&gt;=$E49,AA$9&lt;=$F49),"■","")</f>
      </c>
      <c r="AB49" s="0">
        <f>IF(AND(AB$9&gt;=$E49,AB$9&lt;=$F49),"■","")</f>
      </c>
      <c r="AC49" s="0">
        <f>IF(AND(AC$9&gt;=$E49,AC$9&lt;=$F49),"■","")</f>
      </c>
      <c r="AD49" s="0">
        <f>IF(AND(AD$9&gt;=$E49,AD$9&lt;=$F49),"■","")</f>
      </c>
      <c r="AE49" s="0">
        <f>IF(AND(AE$9&gt;=$E49,AE$9&lt;=$F49),"■","")</f>
      </c>
      <c r="AF49" s="0">
        <f>IF(AND(AF$9&gt;=$E49,AF$9&lt;=$F49),"■","")</f>
      </c>
      <c r="AG49" s="0">
        <f>IF(AND(AG$9&gt;=$E49,AG$9&lt;=$F49),"■","")</f>
      </c>
      <c r="AH49" s="0">
        <f>IF(AND(AH$9&gt;=$E49,AH$9&lt;=$F49),"■","")</f>
      </c>
      <c r="AI49" s="0">
        <f>IF(AND(AI$9&gt;=$E49,AI$9&lt;=$F49),"■","")</f>
      </c>
      <c r="AJ49" s="0">
        <f>IF(AND(AJ$9&gt;=$E49,AJ$9&lt;=$F49),"■","")</f>
      </c>
      <c r="AK49" s="0">
        <f>IF(AND(AK$9&gt;=$E49,AK$9&lt;=$F49),"■","")</f>
      </c>
      <c r="AL49" s="0">
        <f>IF(AND(AL$9&gt;=$E49,AL$9&lt;=$F49),"■","")</f>
      </c>
      <c r="AM49" s="0">
        <f>IF(AND(AM$9&gt;=$E49,AM$9&lt;=$F49),"■","")</f>
      </c>
      <c r="AN49" s="0">
        <f>IF(AND(AN$9&gt;=$E49,AN$9&lt;=$F49),"■","")</f>
      </c>
      <c r="AO49" s="0">
        <f>IF(AND(AO$9&gt;=$E49,AO$9&lt;=$F49),"■","")</f>
      </c>
      <c r="AP49" s="0">
        <f>IF(AND(AP$9&gt;=$E49,AP$9&lt;=$F49),"■","")</f>
      </c>
      <c r="AQ49" s="0">
        <f>IF(AND(AQ$9&gt;=$E49,AQ$9&lt;=$F49),"■","")</f>
      </c>
      <c r="AR49" s="0">
        <f>IF(AND(AR$9&gt;=$E49,AR$9&lt;=$F49),"■","")</f>
      </c>
      <c r="AS49" s="0">
        <f>IF(AND(AS$9&gt;=$E49,AS$9&lt;=$F49),"■","")</f>
      </c>
      <c r="AT49" s="0">
        <f>IF(AND(AT$9&gt;=$E49,AT$9&lt;=$F49),"■","")</f>
      </c>
      <c r="AU49" s="0">
        <f>IF(AND(AU$9&gt;=$E49,AU$9&lt;=$F49),"■","")</f>
      </c>
      <c r="AV49" s="0">
        <f>IF(AND(AV$9&gt;=$E49,AV$9&lt;=$F49),"■","")</f>
      </c>
      <c r="AW49" s="0">
        <f>IF(AND(AW$9&gt;=$E49,AW$9&lt;=$F49),"■","")</f>
      </c>
      <c r="AX49" s="0">
        <f>IF(AND(AX$9&gt;=$E49,AX$9&lt;=$F49),"■","")</f>
      </c>
      <c r="AY49" s="0">
        <f>IF(AND(AY$9&gt;=$E49,AY$9&lt;=$F49),"■","")</f>
      </c>
      <c r="AZ49" s="0">
        <f>IF(AND(AZ$9&gt;=$E49,AZ$9&lt;=$F49),"■","")</f>
      </c>
      <c r="BA49" s="0">
        <f>IF(AND(BA$9&gt;=$E49,BA$9&lt;=$F49),"■","")</f>
      </c>
      <c r="BB49" s="0">
        <f>IF(AND(BB$9&gt;=$E49,BB$9&lt;=$F49),"■","")</f>
      </c>
      <c r="BC49" s="0">
        <f>IF(AND(BC$9&gt;=$E49,BC$9&lt;=$F49),"■","")</f>
      </c>
      <c r="BD49" s="0">
        <f>IF(AND(BD$9&gt;=$E49,BD$9&lt;=$F49),"■","")</f>
      </c>
      <c r="BE49" s="0">
        <f>IF(AND(BE$9&gt;=$E49,BE$9&lt;=$F49),"■","")</f>
      </c>
      <c r="BF49" s="0">
        <f>IF(AND(BF$9&gt;=$E49,BF$9&lt;=$F49),"■","")</f>
      </c>
      <c r="BG49" s="0">
        <f>IF(AND(BG$9&gt;=$E49,BG$9&lt;=$F49),"■","")</f>
      </c>
      <c r="BH49" s="0">
        <f>IF(AND(BH$9&gt;=$E49,BH$9&lt;=$F49),"■","")</f>
      </c>
      <c r="BI49" s="0">
        <f>IF(AND(BI$9&gt;=$E49,BI$9&lt;=$F49),"■","")</f>
      </c>
      <c r="BJ49" s="0">
        <f>IF(AND(BJ$9&gt;=$E49,BJ$9&lt;=$F49),"■","")</f>
      </c>
      <c r="BK49" s="0">
        <f>IF(AND(BK$9&gt;=$E49,BK$9&lt;=$F49),"■","")</f>
      </c>
      <c r="BL49" s="0">
        <f>IF(AND(BL$9&gt;=$E49,BL$9&lt;=$F49),"■","")</f>
      </c>
      <c r="BM49" s="0">
        <f>IF(AND(BM$9&gt;=$E49,BM$9&lt;=$F49),"■","")</f>
      </c>
      <c r="BN49" s="0">
        <f>IF(AND(BN$9&gt;=$E49,BN$9&lt;=$F49),"■","")</f>
      </c>
      <c r="BO49" s="0">
        <f>IF(AND(BO$9&gt;=$E49,BO$9&lt;=$F49),"■","")</f>
      </c>
      <c r="BP49" s="0">
        <f>IF(AND(BP$9&gt;=$E49,BP$9&lt;=$F49),"■","")</f>
      </c>
      <c r="BQ49" s="0">
        <f>IF(AND(BQ$9&gt;=$E49,BQ$9&lt;=$F49),"■","")</f>
      </c>
      <c r="BR49" s="0">
        <f>IF(AND(BR$9&gt;=$E49,BR$9&lt;=$F49),"■","")</f>
      </c>
      <c r="BS49" s="0">
        <f>IF(AND(BS$9&gt;=$E49,BS$9&lt;=$F49),"■","")</f>
      </c>
      <c r="BT49" s="0">
        <f>IF(AND(BT$9&gt;=$E49,BT$9&lt;=$F49),"■","")</f>
      </c>
      <c r="BU49" s="0">
        <f>IF(AND(BU$9&gt;=$E49,BU$9&lt;=$F49),"■","")</f>
      </c>
      <c r="BV49" s="0">
        <f>IF(AND(BV$9&gt;=$E49,BV$9&lt;=$F49),"■","")</f>
      </c>
      <c r="BW49" s="0">
        <f>IF(AND(BW$9&gt;=$E49,BW$9&lt;=$F49),"■","")</f>
      </c>
    </row>
    <row r="50">
      <c r="A50" s="0" t="inlineStr">
        <is>
          <t>P002-040</t>
        </is>
      </c>
      <c r="B50" s="0" t="inlineStr">
        <is>
          <t/>
        </is>
      </c>
      <c r="C50" s="0" t="inlineStr">
        <is>
          <t/>
        </is>
      </c>
      <c r="D50" s="0" t="inlineStr">
        <is>
          <t/>
        </is>
      </c>
      <c r="E50" s="0" t="inlineStr">
        <is>
          <t/>
        </is>
      </c>
      <c r="F50" s="0" t="inlineStr">
        <is>
          <t/>
        </is>
      </c>
      <c r="G50" s="0" t="inlineStr">
        <is>
          <t/>
        </is>
      </c>
      <c r="H50" s="0" t="inlineStr">
        <is>
          <t/>
        </is>
      </c>
      <c r="I50" s="0" t="inlineStr">
        <is>
          <t/>
        </is>
      </c>
      <c r="J50" s="0">
        <f>SUMIFS('Suivi Temps'!$D:$D,'Suivi Temps'!$A:$A,"P002-040")</f>
      </c>
      <c r="K50" s="0" t="inlineStr">
        <is>
          <t/>
        </is>
      </c>
      <c r="L50" s="0" t="inlineStr">
        <is>
          <t/>
        </is>
      </c>
      <c r="M50" s="0" t="inlineStr">
        <is>
          <t/>
        </is>
      </c>
      <c r="N50" s="0" t="inlineStr">
        <is>
          <t/>
        </is>
      </c>
      <c r="O50" s="0" t="inlineStr">
        <is>
          <t/>
        </is>
      </c>
      <c r="P50" s="0">
        <f>IF(AND(P$9&gt;=$E50,P$9&lt;=$F50),"■","")</f>
      </c>
      <c r="Q50" s="0">
        <f>IF(AND(Q$9&gt;=$E50,Q$9&lt;=$F50),"■","")</f>
      </c>
      <c r="R50" s="0">
        <f>IF(AND(R$9&gt;=$E50,R$9&lt;=$F50),"■","")</f>
      </c>
      <c r="S50" s="0">
        <f>IF(AND(S$9&gt;=$E50,S$9&lt;=$F50),"■","")</f>
      </c>
      <c r="T50" s="0">
        <f>IF(AND(T$9&gt;=$E50,T$9&lt;=$F50),"■","")</f>
      </c>
      <c r="U50" s="0">
        <f>IF(AND(U$9&gt;=$E50,U$9&lt;=$F50),"■","")</f>
      </c>
      <c r="V50" s="0">
        <f>IF(AND(V$9&gt;=$E50,V$9&lt;=$F50),"■","")</f>
      </c>
      <c r="W50" s="0">
        <f>IF(AND(W$9&gt;=$E50,W$9&lt;=$F50),"■","")</f>
      </c>
      <c r="X50" s="0">
        <f>IF(AND(X$9&gt;=$E50,X$9&lt;=$F50),"■","")</f>
      </c>
      <c r="Y50" s="0">
        <f>IF(AND(Y$9&gt;=$E50,Y$9&lt;=$F50),"■","")</f>
      </c>
      <c r="Z50" s="0">
        <f>IF(AND(Z$9&gt;=$E50,Z$9&lt;=$F50),"■","")</f>
      </c>
      <c r="AA50" s="0">
        <f>IF(AND(AA$9&gt;=$E50,AA$9&lt;=$F50),"■","")</f>
      </c>
      <c r="AB50" s="0">
        <f>IF(AND(AB$9&gt;=$E50,AB$9&lt;=$F50),"■","")</f>
      </c>
      <c r="AC50" s="0">
        <f>IF(AND(AC$9&gt;=$E50,AC$9&lt;=$F50),"■","")</f>
      </c>
      <c r="AD50" s="0">
        <f>IF(AND(AD$9&gt;=$E50,AD$9&lt;=$F50),"■","")</f>
      </c>
      <c r="AE50" s="0">
        <f>IF(AND(AE$9&gt;=$E50,AE$9&lt;=$F50),"■","")</f>
      </c>
      <c r="AF50" s="0">
        <f>IF(AND(AF$9&gt;=$E50,AF$9&lt;=$F50),"■","")</f>
      </c>
      <c r="AG50" s="0">
        <f>IF(AND(AG$9&gt;=$E50,AG$9&lt;=$F50),"■","")</f>
      </c>
      <c r="AH50" s="0">
        <f>IF(AND(AH$9&gt;=$E50,AH$9&lt;=$F50),"■","")</f>
      </c>
      <c r="AI50" s="0">
        <f>IF(AND(AI$9&gt;=$E50,AI$9&lt;=$F50),"■","")</f>
      </c>
      <c r="AJ50" s="0">
        <f>IF(AND(AJ$9&gt;=$E50,AJ$9&lt;=$F50),"■","")</f>
      </c>
      <c r="AK50" s="0">
        <f>IF(AND(AK$9&gt;=$E50,AK$9&lt;=$F50),"■","")</f>
      </c>
      <c r="AL50" s="0">
        <f>IF(AND(AL$9&gt;=$E50,AL$9&lt;=$F50),"■","")</f>
      </c>
      <c r="AM50" s="0">
        <f>IF(AND(AM$9&gt;=$E50,AM$9&lt;=$F50),"■","")</f>
      </c>
      <c r="AN50" s="0">
        <f>IF(AND(AN$9&gt;=$E50,AN$9&lt;=$F50),"■","")</f>
      </c>
      <c r="AO50" s="0">
        <f>IF(AND(AO$9&gt;=$E50,AO$9&lt;=$F50),"■","")</f>
      </c>
      <c r="AP50" s="0">
        <f>IF(AND(AP$9&gt;=$E50,AP$9&lt;=$F50),"■","")</f>
      </c>
      <c r="AQ50" s="0">
        <f>IF(AND(AQ$9&gt;=$E50,AQ$9&lt;=$F50),"■","")</f>
      </c>
      <c r="AR50" s="0">
        <f>IF(AND(AR$9&gt;=$E50,AR$9&lt;=$F50),"■","")</f>
      </c>
      <c r="AS50" s="0">
        <f>IF(AND(AS$9&gt;=$E50,AS$9&lt;=$F50),"■","")</f>
      </c>
      <c r="AT50" s="0">
        <f>IF(AND(AT$9&gt;=$E50,AT$9&lt;=$F50),"■","")</f>
      </c>
      <c r="AU50" s="0">
        <f>IF(AND(AU$9&gt;=$E50,AU$9&lt;=$F50),"■","")</f>
      </c>
      <c r="AV50" s="0">
        <f>IF(AND(AV$9&gt;=$E50,AV$9&lt;=$F50),"■","")</f>
      </c>
      <c r="AW50" s="0">
        <f>IF(AND(AW$9&gt;=$E50,AW$9&lt;=$F50),"■","")</f>
      </c>
      <c r="AX50" s="0">
        <f>IF(AND(AX$9&gt;=$E50,AX$9&lt;=$F50),"■","")</f>
      </c>
      <c r="AY50" s="0">
        <f>IF(AND(AY$9&gt;=$E50,AY$9&lt;=$F50),"■","")</f>
      </c>
      <c r="AZ50" s="0">
        <f>IF(AND(AZ$9&gt;=$E50,AZ$9&lt;=$F50),"■","")</f>
      </c>
      <c r="BA50" s="0">
        <f>IF(AND(BA$9&gt;=$E50,BA$9&lt;=$F50),"■","")</f>
      </c>
      <c r="BB50" s="0">
        <f>IF(AND(BB$9&gt;=$E50,BB$9&lt;=$F50),"■","")</f>
      </c>
      <c r="BC50" s="0">
        <f>IF(AND(BC$9&gt;=$E50,BC$9&lt;=$F50),"■","")</f>
      </c>
      <c r="BD50" s="0">
        <f>IF(AND(BD$9&gt;=$E50,BD$9&lt;=$F50),"■","")</f>
      </c>
      <c r="BE50" s="0">
        <f>IF(AND(BE$9&gt;=$E50,BE$9&lt;=$F50),"■","")</f>
      </c>
      <c r="BF50" s="0">
        <f>IF(AND(BF$9&gt;=$E50,BF$9&lt;=$F50),"■","")</f>
      </c>
      <c r="BG50" s="0">
        <f>IF(AND(BG$9&gt;=$E50,BG$9&lt;=$F50),"■","")</f>
      </c>
      <c r="BH50" s="0">
        <f>IF(AND(BH$9&gt;=$E50,BH$9&lt;=$F50),"■","")</f>
      </c>
      <c r="BI50" s="0">
        <f>IF(AND(BI$9&gt;=$E50,BI$9&lt;=$F50),"■","")</f>
      </c>
      <c r="BJ50" s="0">
        <f>IF(AND(BJ$9&gt;=$E50,BJ$9&lt;=$F50),"■","")</f>
      </c>
      <c r="BK50" s="0">
        <f>IF(AND(BK$9&gt;=$E50,BK$9&lt;=$F50),"■","")</f>
      </c>
      <c r="BL50" s="0">
        <f>IF(AND(BL$9&gt;=$E50,BL$9&lt;=$F50),"■","")</f>
      </c>
      <c r="BM50" s="0">
        <f>IF(AND(BM$9&gt;=$E50,BM$9&lt;=$F50),"■","")</f>
      </c>
      <c r="BN50" s="0">
        <f>IF(AND(BN$9&gt;=$E50,BN$9&lt;=$F50),"■","")</f>
      </c>
      <c r="BO50" s="0">
        <f>IF(AND(BO$9&gt;=$E50,BO$9&lt;=$F50),"■","")</f>
      </c>
      <c r="BP50" s="0">
        <f>IF(AND(BP$9&gt;=$E50,BP$9&lt;=$F50),"■","")</f>
      </c>
      <c r="BQ50" s="0">
        <f>IF(AND(BQ$9&gt;=$E50,BQ$9&lt;=$F50),"■","")</f>
      </c>
      <c r="BR50" s="0">
        <f>IF(AND(BR$9&gt;=$E50,BR$9&lt;=$F50),"■","")</f>
      </c>
      <c r="BS50" s="0">
        <f>IF(AND(BS$9&gt;=$E50,BS$9&lt;=$F50),"■","")</f>
      </c>
      <c r="BT50" s="0">
        <f>IF(AND(BT$9&gt;=$E50,BT$9&lt;=$F50),"■","")</f>
      </c>
      <c r="BU50" s="0">
        <f>IF(AND(BU$9&gt;=$E50,BU$9&lt;=$F50),"■","")</f>
      </c>
      <c r="BV50" s="0">
        <f>IF(AND(BV$9&gt;=$E50,BV$9&lt;=$F50),"■","")</f>
      </c>
      <c r="BW50" s="0">
        <f>IF(AND(BW$9&gt;=$E50,BW$9&lt;=$F50),"■","")</f>
      </c>
    </row>
    <row r="51">
      <c r="A51" s="0" t="inlineStr">
        <is>
          <t>P002-041</t>
        </is>
      </c>
      <c r="B51" s="0" t="inlineStr">
        <is>
          <t/>
        </is>
      </c>
      <c r="C51" s="0" t="inlineStr">
        <is>
          <t/>
        </is>
      </c>
      <c r="D51" s="0" t="inlineStr">
        <is>
          <t/>
        </is>
      </c>
      <c r="E51" s="0" t="inlineStr">
        <is>
          <t/>
        </is>
      </c>
      <c r="F51" s="0" t="inlineStr">
        <is>
          <t/>
        </is>
      </c>
      <c r="G51" s="0" t="inlineStr">
        <is>
          <t/>
        </is>
      </c>
      <c r="H51" s="0" t="inlineStr">
        <is>
          <t/>
        </is>
      </c>
      <c r="I51" s="0" t="inlineStr">
        <is>
          <t/>
        </is>
      </c>
      <c r="J51" s="0">
        <f>SUMIFS('Suivi Temps'!$D:$D,'Suivi Temps'!$A:$A,"P002-041")</f>
      </c>
      <c r="K51" s="0" t="inlineStr">
        <is>
          <t/>
        </is>
      </c>
      <c r="L51" s="0" t="inlineStr">
        <is>
          <t/>
        </is>
      </c>
      <c r="M51" s="0" t="inlineStr">
        <is>
          <t/>
        </is>
      </c>
      <c r="N51" s="0" t="inlineStr">
        <is>
          <t/>
        </is>
      </c>
      <c r="O51" s="0" t="inlineStr">
        <is>
          <t/>
        </is>
      </c>
      <c r="P51" s="0">
        <f>IF(AND(P$9&gt;=$E51,P$9&lt;=$F51),"■","")</f>
      </c>
      <c r="Q51" s="0">
        <f>IF(AND(Q$9&gt;=$E51,Q$9&lt;=$F51),"■","")</f>
      </c>
      <c r="R51" s="0">
        <f>IF(AND(R$9&gt;=$E51,R$9&lt;=$F51),"■","")</f>
      </c>
      <c r="S51" s="0">
        <f>IF(AND(S$9&gt;=$E51,S$9&lt;=$F51),"■","")</f>
      </c>
      <c r="T51" s="0">
        <f>IF(AND(T$9&gt;=$E51,T$9&lt;=$F51),"■","")</f>
      </c>
      <c r="U51" s="0">
        <f>IF(AND(U$9&gt;=$E51,U$9&lt;=$F51),"■","")</f>
      </c>
      <c r="V51" s="0">
        <f>IF(AND(V$9&gt;=$E51,V$9&lt;=$F51),"■","")</f>
      </c>
      <c r="W51" s="0">
        <f>IF(AND(W$9&gt;=$E51,W$9&lt;=$F51),"■","")</f>
      </c>
      <c r="X51" s="0">
        <f>IF(AND(X$9&gt;=$E51,X$9&lt;=$F51),"■","")</f>
      </c>
      <c r="Y51" s="0">
        <f>IF(AND(Y$9&gt;=$E51,Y$9&lt;=$F51),"■","")</f>
      </c>
      <c r="Z51" s="0">
        <f>IF(AND(Z$9&gt;=$E51,Z$9&lt;=$F51),"■","")</f>
      </c>
      <c r="AA51" s="0">
        <f>IF(AND(AA$9&gt;=$E51,AA$9&lt;=$F51),"■","")</f>
      </c>
      <c r="AB51" s="0">
        <f>IF(AND(AB$9&gt;=$E51,AB$9&lt;=$F51),"■","")</f>
      </c>
      <c r="AC51" s="0">
        <f>IF(AND(AC$9&gt;=$E51,AC$9&lt;=$F51),"■","")</f>
      </c>
      <c r="AD51" s="0">
        <f>IF(AND(AD$9&gt;=$E51,AD$9&lt;=$F51),"■","")</f>
      </c>
      <c r="AE51" s="0">
        <f>IF(AND(AE$9&gt;=$E51,AE$9&lt;=$F51),"■","")</f>
      </c>
      <c r="AF51" s="0">
        <f>IF(AND(AF$9&gt;=$E51,AF$9&lt;=$F51),"■","")</f>
      </c>
      <c r="AG51" s="0">
        <f>IF(AND(AG$9&gt;=$E51,AG$9&lt;=$F51),"■","")</f>
      </c>
      <c r="AH51" s="0">
        <f>IF(AND(AH$9&gt;=$E51,AH$9&lt;=$F51),"■","")</f>
      </c>
      <c r="AI51" s="0">
        <f>IF(AND(AI$9&gt;=$E51,AI$9&lt;=$F51),"■","")</f>
      </c>
      <c r="AJ51" s="0">
        <f>IF(AND(AJ$9&gt;=$E51,AJ$9&lt;=$F51),"■","")</f>
      </c>
      <c r="AK51" s="0">
        <f>IF(AND(AK$9&gt;=$E51,AK$9&lt;=$F51),"■","")</f>
      </c>
      <c r="AL51" s="0">
        <f>IF(AND(AL$9&gt;=$E51,AL$9&lt;=$F51),"■","")</f>
      </c>
      <c r="AM51" s="0">
        <f>IF(AND(AM$9&gt;=$E51,AM$9&lt;=$F51),"■","")</f>
      </c>
      <c r="AN51" s="0">
        <f>IF(AND(AN$9&gt;=$E51,AN$9&lt;=$F51),"■","")</f>
      </c>
      <c r="AO51" s="0">
        <f>IF(AND(AO$9&gt;=$E51,AO$9&lt;=$F51),"■","")</f>
      </c>
      <c r="AP51" s="0">
        <f>IF(AND(AP$9&gt;=$E51,AP$9&lt;=$F51),"■","")</f>
      </c>
      <c r="AQ51" s="0">
        <f>IF(AND(AQ$9&gt;=$E51,AQ$9&lt;=$F51),"■","")</f>
      </c>
      <c r="AR51" s="0">
        <f>IF(AND(AR$9&gt;=$E51,AR$9&lt;=$F51),"■","")</f>
      </c>
      <c r="AS51" s="0">
        <f>IF(AND(AS$9&gt;=$E51,AS$9&lt;=$F51),"■","")</f>
      </c>
      <c r="AT51" s="0">
        <f>IF(AND(AT$9&gt;=$E51,AT$9&lt;=$F51),"■","")</f>
      </c>
      <c r="AU51" s="0">
        <f>IF(AND(AU$9&gt;=$E51,AU$9&lt;=$F51),"■","")</f>
      </c>
      <c r="AV51" s="0">
        <f>IF(AND(AV$9&gt;=$E51,AV$9&lt;=$F51),"■","")</f>
      </c>
      <c r="AW51" s="0">
        <f>IF(AND(AW$9&gt;=$E51,AW$9&lt;=$F51),"■","")</f>
      </c>
      <c r="AX51" s="0">
        <f>IF(AND(AX$9&gt;=$E51,AX$9&lt;=$F51),"■","")</f>
      </c>
      <c r="AY51" s="0">
        <f>IF(AND(AY$9&gt;=$E51,AY$9&lt;=$F51),"■","")</f>
      </c>
      <c r="AZ51" s="0">
        <f>IF(AND(AZ$9&gt;=$E51,AZ$9&lt;=$F51),"■","")</f>
      </c>
      <c r="BA51" s="0">
        <f>IF(AND(BA$9&gt;=$E51,BA$9&lt;=$F51),"■","")</f>
      </c>
      <c r="BB51" s="0">
        <f>IF(AND(BB$9&gt;=$E51,BB$9&lt;=$F51),"■","")</f>
      </c>
      <c r="BC51" s="0">
        <f>IF(AND(BC$9&gt;=$E51,BC$9&lt;=$F51),"■","")</f>
      </c>
      <c r="BD51" s="0">
        <f>IF(AND(BD$9&gt;=$E51,BD$9&lt;=$F51),"■","")</f>
      </c>
      <c r="BE51" s="0">
        <f>IF(AND(BE$9&gt;=$E51,BE$9&lt;=$F51),"■","")</f>
      </c>
      <c r="BF51" s="0">
        <f>IF(AND(BF$9&gt;=$E51,BF$9&lt;=$F51),"■","")</f>
      </c>
      <c r="BG51" s="0">
        <f>IF(AND(BG$9&gt;=$E51,BG$9&lt;=$F51),"■","")</f>
      </c>
      <c r="BH51" s="0">
        <f>IF(AND(BH$9&gt;=$E51,BH$9&lt;=$F51),"■","")</f>
      </c>
      <c r="BI51" s="0">
        <f>IF(AND(BI$9&gt;=$E51,BI$9&lt;=$F51),"■","")</f>
      </c>
      <c r="BJ51" s="0">
        <f>IF(AND(BJ$9&gt;=$E51,BJ$9&lt;=$F51),"■","")</f>
      </c>
      <c r="BK51" s="0">
        <f>IF(AND(BK$9&gt;=$E51,BK$9&lt;=$F51),"■","")</f>
      </c>
      <c r="BL51" s="0">
        <f>IF(AND(BL$9&gt;=$E51,BL$9&lt;=$F51),"■","")</f>
      </c>
      <c r="BM51" s="0">
        <f>IF(AND(BM$9&gt;=$E51,BM$9&lt;=$F51),"■","")</f>
      </c>
      <c r="BN51" s="0">
        <f>IF(AND(BN$9&gt;=$E51,BN$9&lt;=$F51),"■","")</f>
      </c>
      <c r="BO51" s="0">
        <f>IF(AND(BO$9&gt;=$E51,BO$9&lt;=$F51),"■","")</f>
      </c>
      <c r="BP51" s="0">
        <f>IF(AND(BP$9&gt;=$E51,BP$9&lt;=$F51),"■","")</f>
      </c>
      <c r="BQ51" s="0">
        <f>IF(AND(BQ$9&gt;=$E51,BQ$9&lt;=$F51),"■","")</f>
      </c>
      <c r="BR51" s="0">
        <f>IF(AND(BR$9&gt;=$E51,BR$9&lt;=$F51),"■","")</f>
      </c>
      <c r="BS51" s="0">
        <f>IF(AND(BS$9&gt;=$E51,BS$9&lt;=$F51),"■","")</f>
      </c>
      <c r="BT51" s="0">
        <f>IF(AND(BT$9&gt;=$E51,BT$9&lt;=$F51),"■","")</f>
      </c>
      <c r="BU51" s="0">
        <f>IF(AND(BU$9&gt;=$E51,BU$9&lt;=$F51),"■","")</f>
      </c>
      <c r="BV51" s="0">
        <f>IF(AND(BV$9&gt;=$E51,BV$9&lt;=$F51),"■","")</f>
      </c>
      <c r="BW51" s="0">
        <f>IF(AND(BW$9&gt;=$E51,BW$9&lt;=$F51),"■","")</f>
      </c>
    </row>
    <row r="52">
      <c r="A52" s="0" t="inlineStr">
        <is>
          <t>P002-042</t>
        </is>
      </c>
      <c r="B52" s="0" t="inlineStr">
        <is>
          <t/>
        </is>
      </c>
      <c r="C52" s="0" t="inlineStr">
        <is>
          <t/>
        </is>
      </c>
      <c r="D52" s="0" t="inlineStr">
        <is>
          <t/>
        </is>
      </c>
      <c r="E52" s="0" t="inlineStr">
        <is>
          <t/>
        </is>
      </c>
      <c r="F52" s="0" t="inlineStr">
        <is>
          <t/>
        </is>
      </c>
      <c r="G52" s="0" t="inlineStr">
        <is>
          <t/>
        </is>
      </c>
      <c r="H52" s="0" t="inlineStr">
        <is>
          <t/>
        </is>
      </c>
      <c r="I52" s="0" t="inlineStr">
        <is>
          <t/>
        </is>
      </c>
      <c r="J52" s="0">
        <f>SUMIFS('Suivi Temps'!$D:$D,'Suivi Temps'!$A:$A,"P002-042")</f>
      </c>
      <c r="K52" s="0" t="inlineStr">
        <is>
          <t/>
        </is>
      </c>
      <c r="L52" s="0" t="inlineStr">
        <is>
          <t/>
        </is>
      </c>
      <c r="M52" s="0" t="inlineStr">
        <is>
          <t/>
        </is>
      </c>
      <c r="N52" s="0" t="inlineStr">
        <is>
          <t/>
        </is>
      </c>
      <c r="O52" s="0" t="inlineStr">
        <is>
          <t/>
        </is>
      </c>
      <c r="P52" s="0">
        <f>IF(AND(P$9&gt;=$E52,P$9&lt;=$F52),"■","")</f>
      </c>
      <c r="Q52" s="0">
        <f>IF(AND(Q$9&gt;=$E52,Q$9&lt;=$F52),"■","")</f>
      </c>
      <c r="R52" s="0">
        <f>IF(AND(R$9&gt;=$E52,R$9&lt;=$F52),"■","")</f>
      </c>
      <c r="S52" s="0">
        <f>IF(AND(S$9&gt;=$E52,S$9&lt;=$F52),"■","")</f>
      </c>
      <c r="T52" s="0">
        <f>IF(AND(T$9&gt;=$E52,T$9&lt;=$F52),"■","")</f>
      </c>
      <c r="U52" s="0">
        <f>IF(AND(U$9&gt;=$E52,U$9&lt;=$F52),"■","")</f>
      </c>
      <c r="V52" s="0">
        <f>IF(AND(V$9&gt;=$E52,V$9&lt;=$F52),"■","")</f>
      </c>
      <c r="W52" s="0">
        <f>IF(AND(W$9&gt;=$E52,W$9&lt;=$F52),"■","")</f>
      </c>
      <c r="X52" s="0">
        <f>IF(AND(X$9&gt;=$E52,X$9&lt;=$F52),"■","")</f>
      </c>
      <c r="Y52" s="0">
        <f>IF(AND(Y$9&gt;=$E52,Y$9&lt;=$F52),"■","")</f>
      </c>
      <c r="Z52" s="0">
        <f>IF(AND(Z$9&gt;=$E52,Z$9&lt;=$F52),"■","")</f>
      </c>
      <c r="AA52" s="0">
        <f>IF(AND(AA$9&gt;=$E52,AA$9&lt;=$F52),"■","")</f>
      </c>
      <c r="AB52" s="0">
        <f>IF(AND(AB$9&gt;=$E52,AB$9&lt;=$F52),"■","")</f>
      </c>
      <c r="AC52" s="0">
        <f>IF(AND(AC$9&gt;=$E52,AC$9&lt;=$F52),"■","")</f>
      </c>
      <c r="AD52" s="0">
        <f>IF(AND(AD$9&gt;=$E52,AD$9&lt;=$F52),"■","")</f>
      </c>
      <c r="AE52" s="0">
        <f>IF(AND(AE$9&gt;=$E52,AE$9&lt;=$F52),"■","")</f>
      </c>
      <c r="AF52" s="0">
        <f>IF(AND(AF$9&gt;=$E52,AF$9&lt;=$F52),"■","")</f>
      </c>
      <c r="AG52" s="0">
        <f>IF(AND(AG$9&gt;=$E52,AG$9&lt;=$F52),"■","")</f>
      </c>
      <c r="AH52" s="0">
        <f>IF(AND(AH$9&gt;=$E52,AH$9&lt;=$F52),"■","")</f>
      </c>
      <c r="AI52" s="0">
        <f>IF(AND(AI$9&gt;=$E52,AI$9&lt;=$F52),"■","")</f>
      </c>
      <c r="AJ52" s="0">
        <f>IF(AND(AJ$9&gt;=$E52,AJ$9&lt;=$F52),"■","")</f>
      </c>
      <c r="AK52" s="0">
        <f>IF(AND(AK$9&gt;=$E52,AK$9&lt;=$F52),"■","")</f>
      </c>
      <c r="AL52" s="0">
        <f>IF(AND(AL$9&gt;=$E52,AL$9&lt;=$F52),"■","")</f>
      </c>
      <c r="AM52" s="0">
        <f>IF(AND(AM$9&gt;=$E52,AM$9&lt;=$F52),"■","")</f>
      </c>
      <c r="AN52" s="0">
        <f>IF(AND(AN$9&gt;=$E52,AN$9&lt;=$F52),"■","")</f>
      </c>
      <c r="AO52" s="0">
        <f>IF(AND(AO$9&gt;=$E52,AO$9&lt;=$F52),"■","")</f>
      </c>
      <c r="AP52" s="0">
        <f>IF(AND(AP$9&gt;=$E52,AP$9&lt;=$F52),"■","")</f>
      </c>
      <c r="AQ52" s="0">
        <f>IF(AND(AQ$9&gt;=$E52,AQ$9&lt;=$F52),"■","")</f>
      </c>
      <c r="AR52" s="0">
        <f>IF(AND(AR$9&gt;=$E52,AR$9&lt;=$F52),"■","")</f>
      </c>
      <c r="AS52" s="0">
        <f>IF(AND(AS$9&gt;=$E52,AS$9&lt;=$F52),"■","")</f>
      </c>
      <c r="AT52" s="0">
        <f>IF(AND(AT$9&gt;=$E52,AT$9&lt;=$F52),"■","")</f>
      </c>
      <c r="AU52" s="0">
        <f>IF(AND(AU$9&gt;=$E52,AU$9&lt;=$F52),"■","")</f>
      </c>
      <c r="AV52" s="0">
        <f>IF(AND(AV$9&gt;=$E52,AV$9&lt;=$F52),"■","")</f>
      </c>
      <c r="AW52" s="0">
        <f>IF(AND(AW$9&gt;=$E52,AW$9&lt;=$F52),"■","")</f>
      </c>
      <c r="AX52" s="0">
        <f>IF(AND(AX$9&gt;=$E52,AX$9&lt;=$F52),"■","")</f>
      </c>
      <c r="AY52" s="0">
        <f>IF(AND(AY$9&gt;=$E52,AY$9&lt;=$F52),"■","")</f>
      </c>
      <c r="AZ52" s="0">
        <f>IF(AND(AZ$9&gt;=$E52,AZ$9&lt;=$F52),"■","")</f>
      </c>
      <c r="BA52" s="0">
        <f>IF(AND(BA$9&gt;=$E52,BA$9&lt;=$F52),"■","")</f>
      </c>
      <c r="BB52" s="0">
        <f>IF(AND(BB$9&gt;=$E52,BB$9&lt;=$F52),"■","")</f>
      </c>
      <c r="BC52" s="0">
        <f>IF(AND(BC$9&gt;=$E52,BC$9&lt;=$F52),"■","")</f>
      </c>
      <c r="BD52" s="0">
        <f>IF(AND(BD$9&gt;=$E52,BD$9&lt;=$F52),"■","")</f>
      </c>
      <c r="BE52" s="0">
        <f>IF(AND(BE$9&gt;=$E52,BE$9&lt;=$F52),"■","")</f>
      </c>
      <c r="BF52" s="0">
        <f>IF(AND(BF$9&gt;=$E52,BF$9&lt;=$F52),"■","")</f>
      </c>
      <c r="BG52" s="0">
        <f>IF(AND(BG$9&gt;=$E52,BG$9&lt;=$F52),"■","")</f>
      </c>
      <c r="BH52" s="0">
        <f>IF(AND(BH$9&gt;=$E52,BH$9&lt;=$F52),"■","")</f>
      </c>
      <c r="BI52" s="0">
        <f>IF(AND(BI$9&gt;=$E52,BI$9&lt;=$F52),"■","")</f>
      </c>
      <c r="BJ52" s="0">
        <f>IF(AND(BJ$9&gt;=$E52,BJ$9&lt;=$F52),"■","")</f>
      </c>
      <c r="BK52" s="0">
        <f>IF(AND(BK$9&gt;=$E52,BK$9&lt;=$F52),"■","")</f>
      </c>
      <c r="BL52" s="0">
        <f>IF(AND(BL$9&gt;=$E52,BL$9&lt;=$F52),"■","")</f>
      </c>
      <c r="BM52" s="0">
        <f>IF(AND(BM$9&gt;=$E52,BM$9&lt;=$F52),"■","")</f>
      </c>
      <c r="BN52" s="0">
        <f>IF(AND(BN$9&gt;=$E52,BN$9&lt;=$F52),"■","")</f>
      </c>
      <c r="BO52" s="0">
        <f>IF(AND(BO$9&gt;=$E52,BO$9&lt;=$F52),"■","")</f>
      </c>
      <c r="BP52" s="0">
        <f>IF(AND(BP$9&gt;=$E52,BP$9&lt;=$F52),"■","")</f>
      </c>
      <c r="BQ52" s="0">
        <f>IF(AND(BQ$9&gt;=$E52,BQ$9&lt;=$F52),"■","")</f>
      </c>
      <c r="BR52" s="0">
        <f>IF(AND(BR$9&gt;=$E52,BR$9&lt;=$F52),"■","")</f>
      </c>
      <c r="BS52" s="0">
        <f>IF(AND(BS$9&gt;=$E52,BS$9&lt;=$F52),"■","")</f>
      </c>
      <c r="BT52" s="0">
        <f>IF(AND(BT$9&gt;=$E52,BT$9&lt;=$F52),"■","")</f>
      </c>
      <c r="BU52" s="0">
        <f>IF(AND(BU$9&gt;=$E52,BU$9&lt;=$F52),"■","")</f>
      </c>
      <c r="BV52" s="0">
        <f>IF(AND(BV$9&gt;=$E52,BV$9&lt;=$F52),"■","")</f>
      </c>
      <c r="BW52" s="0">
        <f>IF(AND(BW$9&gt;=$E52,BW$9&lt;=$F52),"■","")</f>
      </c>
    </row>
    <row r="53">
      <c r="A53" s="0" t="inlineStr">
        <is>
          <t>P002-043</t>
        </is>
      </c>
      <c r="B53" s="0" t="inlineStr">
        <is>
          <t/>
        </is>
      </c>
      <c r="C53" s="0" t="inlineStr">
        <is>
          <t/>
        </is>
      </c>
      <c r="D53" s="0" t="inlineStr">
        <is>
          <t/>
        </is>
      </c>
      <c r="E53" s="0" t="inlineStr">
        <is>
          <t/>
        </is>
      </c>
      <c r="F53" s="0" t="inlineStr">
        <is>
          <t/>
        </is>
      </c>
      <c r="G53" s="0" t="inlineStr">
        <is>
          <t/>
        </is>
      </c>
      <c r="H53" s="0" t="inlineStr">
        <is>
          <t/>
        </is>
      </c>
      <c r="I53" s="0" t="inlineStr">
        <is>
          <t/>
        </is>
      </c>
      <c r="J53" s="0">
        <f>SUMIFS('Suivi Temps'!$D:$D,'Suivi Temps'!$A:$A,"P002-043")</f>
      </c>
      <c r="K53" s="0" t="inlineStr">
        <is>
          <t/>
        </is>
      </c>
      <c r="L53" s="0" t="inlineStr">
        <is>
          <t/>
        </is>
      </c>
      <c r="M53" s="0" t="inlineStr">
        <is>
          <t/>
        </is>
      </c>
      <c r="N53" s="0" t="inlineStr">
        <is>
          <t/>
        </is>
      </c>
      <c r="O53" s="0" t="inlineStr">
        <is>
          <t/>
        </is>
      </c>
      <c r="P53" s="0">
        <f>IF(AND(P$9&gt;=$E53,P$9&lt;=$F53),"■","")</f>
      </c>
      <c r="Q53" s="0">
        <f>IF(AND(Q$9&gt;=$E53,Q$9&lt;=$F53),"■","")</f>
      </c>
      <c r="R53" s="0">
        <f>IF(AND(R$9&gt;=$E53,R$9&lt;=$F53),"■","")</f>
      </c>
      <c r="S53" s="0">
        <f>IF(AND(S$9&gt;=$E53,S$9&lt;=$F53),"■","")</f>
      </c>
      <c r="T53" s="0">
        <f>IF(AND(T$9&gt;=$E53,T$9&lt;=$F53),"■","")</f>
      </c>
      <c r="U53" s="0">
        <f>IF(AND(U$9&gt;=$E53,U$9&lt;=$F53),"■","")</f>
      </c>
      <c r="V53" s="0">
        <f>IF(AND(V$9&gt;=$E53,V$9&lt;=$F53),"■","")</f>
      </c>
      <c r="W53" s="0">
        <f>IF(AND(W$9&gt;=$E53,W$9&lt;=$F53),"■","")</f>
      </c>
      <c r="X53" s="0">
        <f>IF(AND(X$9&gt;=$E53,X$9&lt;=$F53),"■","")</f>
      </c>
      <c r="Y53" s="0">
        <f>IF(AND(Y$9&gt;=$E53,Y$9&lt;=$F53),"■","")</f>
      </c>
      <c r="Z53" s="0">
        <f>IF(AND(Z$9&gt;=$E53,Z$9&lt;=$F53),"■","")</f>
      </c>
      <c r="AA53" s="0">
        <f>IF(AND(AA$9&gt;=$E53,AA$9&lt;=$F53),"■","")</f>
      </c>
      <c r="AB53" s="0">
        <f>IF(AND(AB$9&gt;=$E53,AB$9&lt;=$F53),"■","")</f>
      </c>
      <c r="AC53" s="0">
        <f>IF(AND(AC$9&gt;=$E53,AC$9&lt;=$F53),"■","")</f>
      </c>
      <c r="AD53" s="0">
        <f>IF(AND(AD$9&gt;=$E53,AD$9&lt;=$F53),"■","")</f>
      </c>
      <c r="AE53" s="0">
        <f>IF(AND(AE$9&gt;=$E53,AE$9&lt;=$F53),"■","")</f>
      </c>
      <c r="AF53" s="0">
        <f>IF(AND(AF$9&gt;=$E53,AF$9&lt;=$F53),"■","")</f>
      </c>
      <c r="AG53" s="0">
        <f>IF(AND(AG$9&gt;=$E53,AG$9&lt;=$F53),"■","")</f>
      </c>
      <c r="AH53" s="0">
        <f>IF(AND(AH$9&gt;=$E53,AH$9&lt;=$F53),"■","")</f>
      </c>
      <c r="AI53" s="0">
        <f>IF(AND(AI$9&gt;=$E53,AI$9&lt;=$F53),"■","")</f>
      </c>
      <c r="AJ53" s="0">
        <f>IF(AND(AJ$9&gt;=$E53,AJ$9&lt;=$F53),"■","")</f>
      </c>
      <c r="AK53" s="0">
        <f>IF(AND(AK$9&gt;=$E53,AK$9&lt;=$F53),"■","")</f>
      </c>
      <c r="AL53" s="0">
        <f>IF(AND(AL$9&gt;=$E53,AL$9&lt;=$F53),"■","")</f>
      </c>
      <c r="AM53" s="0">
        <f>IF(AND(AM$9&gt;=$E53,AM$9&lt;=$F53),"■","")</f>
      </c>
      <c r="AN53" s="0">
        <f>IF(AND(AN$9&gt;=$E53,AN$9&lt;=$F53),"■","")</f>
      </c>
      <c r="AO53" s="0">
        <f>IF(AND(AO$9&gt;=$E53,AO$9&lt;=$F53),"■","")</f>
      </c>
      <c r="AP53" s="0">
        <f>IF(AND(AP$9&gt;=$E53,AP$9&lt;=$F53),"■","")</f>
      </c>
      <c r="AQ53" s="0">
        <f>IF(AND(AQ$9&gt;=$E53,AQ$9&lt;=$F53),"■","")</f>
      </c>
      <c r="AR53" s="0">
        <f>IF(AND(AR$9&gt;=$E53,AR$9&lt;=$F53),"■","")</f>
      </c>
      <c r="AS53" s="0">
        <f>IF(AND(AS$9&gt;=$E53,AS$9&lt;=$F53),"■","")</f>
      </c>
      <c r="AT53" s="0">
        <f>IF(AND(AT$9&gt;=$E53,AT$9&lt;=$F53),"■","")</f>
      </c>
      <c r="AU53" s="0">
        <f>IF(AND(AU$9&gt;=$E53,AU$9&lt;=$F53),"■","")</f>
      </c>
      <c r="AV53" s="0">
        <f>IF(AND(AV$9&gt;=$E53,AV$9&lt;=$F53),"■","")</f>
      </c>
      <c r="AW53" s="0">
        <f>IF(AND(AW$9&gt;=$E53,AW$9&lt;=$F53),"■","")</f>
      </c>
      <c r="AX53" s="0">
        <f>IF(AND(AX$9&gt;=$E53,AX$9&lt;=$F53),"■","")</f>
      </c>
      <c r="AY53" s="0">
        <f>IF(AND(AY$9&gt;=$E53,AY$9&lt;=$F53),"■","")</f>
      </c>
      <c r="AZ53" s="0">
        <f>IF(AND(AZ$9&gt;=$E53,AZ$9&lt;=$F53),"■","")</f>
      </c>
      <c r="BA53" s="0">
        <f>IF(AND(BA$9&gt;=$E53,BA$9&lt;=$F53),"■","")</f>
      </c>
      <c r="BB53" s="0">
        <f>IF(AND(BB$9&gt;=$E53,BB$9&lt;=$F53),"■","")</f>
      </c>
      <c r="BC53" s="0">
        <f>IF(AND(BC$9&gt;=$E53,BC$9&lt;=$F53),"■","")</f>
      </c>
      <c r="BD53" s="0">
        <f>IF(AND(BD$9&gt;=$E53,BD$9&lt;=$F53),"■","")</f>
      </c>
      <c r="BE53" s="0">
        <f>IF(AND(BE$9&gt;=$E53,BE$9&lt;=$F53),"■","")</f>
      </c>
      <c r="BF53" s="0">
        <f>IF(AND(BF$9&gt;=$E53,BF$9&lt;=$F53),"■","")</f>
      </c>
      <c r="BG53" s="0">
        <f>IF(AND(BG$9&gt;=$E53,BG$9&lt;=$F53),"■","")</f>
      </c>
      <c r="BH53" s="0">
        <f>IF(AND(BH$9&gt;=$E53,BH$9&lt;=$F53),"■","")</f>
      </c>
      <c r="BI53" s="0">
        <f>IF(AND(BI$9&gt;=$E53,BI$9&lt;=$F53),"■","")</f>
      </c>
      <c r="BJ53" s="0">
        <f>IF(AND(BJ$9&gt;=$E53,BJ$9&lt;=$F53),"■","")</f>
      </c>
      <c r="BK53" s="0">
        <f>IF(AND(BK$9&gt;=$E53,BK$9&lt;=$F53),"■","")</f>
      </c>
      <c r="BL53" s="0">
        <f>IF(AND(BL$9&gt;=$E53,BL$9&lt;=$F53),"■","")</f>
      </c>
      <c r="BM53" s="0">
        <f>IF(AND(BM$9&gt;=$E53,BM$9&lt;=$F53),"■","")</f>
      </c>
      <c r="BN53" s="0">
        <f>IF(AND(BN$9&gt;=$E53,BN$9&lt;=$F53),"■","")</f>
      </c>
      <c r="BO53" s="0">
        <f>IF(AND(BO$9&gt;=$E53,BO$9&lt;=$F53),"■","")</f>
      </c>
      <c r="BP53" s="0">
        <f>IF(AND(BP$9&gt;=$E53,BP$9&lt;=$F53),"■","")</f>
      </c>
      <c r="BQ53" s="0">
        <f>IF(AND(BQ$9&gt;=$E53,BQ$9&lt;=$F53),"■","")</f>
      </c>
      <c r="BR53" s="0">
        <f>IF(AND(BR$9&gt;=$E53,BR$9&lt;=$F53),"■","")</f>
      </c>
      <c r="BS53" s="0">
        <f>IF(AND(BS$9&gt;=$E53,BS$9&lt;=$F53),"■","")</f>
      </c>
      <c r="BT53" s="0">
        <f>IF(AND(BT$9&gt;=$E53,BT$9&lt;=$F53),"■","")</f>
      </c>
      <c r="BU53" s="0">
        <f>IF(AND(BU$9&gt;=$E53,BU$9&lt;=$F53),"■","")</f>
      </c>
      <c r="BV53" s="0">
        <f>IF(AND(BV$9&gt;=$E53,BV$9&lt;=$F53),"■","")</f>
      </c>
      <c r="BW53" s="0">
        <f>IF(AND(BW$9&gt;=$E53,BW$9&lt;=$F53),"■","")</f>
      </c>
    </row>
    <row r="54">
      <c r="A54" s="0" t="inlineStr">
        <is>
          <t>P002-044</t>
        </is>
      </c>
      <c r="B54" s="0" t="inlineStr">
        <is>
          <t/>
        </is>
      </c>
      <c r="C54" s="0" t="inlineStr">
        <is>
          <t/>
        </is>
      </c>
      <c r="D54" s="0" t="inlineStr">
        <is>
          <t/>
        </is>
      </c>
      <c r="E54" s="0" t="inlineStr">
        <is>
          <t/>
        </is>
      </c>
      <c r="F54" s="0" t="inlineStr">
        <is>
          <t/>
        </is>
      </c>
      <c r="G54" s="0" t="inlineStr">
        <is>
          <t/>
        </is>
      </c>
      <c r="H54" s="0" t="inlineStr">
        <is>
          <t/>
        </is>
      </c>
      <c r="I54" s="0" t="inlineStr">
        <is>
          <t/>
        </is>
      </c>
      <c r="J54" s="0">
        <f>SUMIFS('Suivi Temps'!$D:$D,'Suivi Temps'!$A:$A,"P002-044")</f>
      </c>
      <c r="K54" s="0" t="inlineStr">
        <is>
          <t/>
        </is>
      </c>
      <c r="L54" s="0" t="inlineStr">
        <is>
          <t/>
        </is>
      </c>
      <c r="M54" s="0" t="inlineStr">
        <is>
          <t/>
        </is>
      </c>
      <c r="N54" s="0" t="inlineStr">
        <is>
          <t/>
        </is>
      </c>
      <c r="O54" s="0" t="inlineStr">
        <is>
          <t/>
        </is>
      </c>
      <c r="P54" s="0">
        <f>IF(AND(P$9&gt;=$E54,P$9&lt;=$F54),"■","")</f>
      </c>
      <c r="Q54" s="0">
        <f>IF(AND(Q$9&gt;=$E54,Q$9&lt;=$F54),"■","")</f>
      </c>
      <c r="R54" s="0">
        <f>IF(AND(R$9&gt;=$E54,R$9&lt;=$F54),"■","")</f>
      </c>
      <c r="S54" s="0">
        <f>IF(AND(S$9&gt;=$E54,S$9&lt;=$F54),"■","")</f>
      </c>
      <c r="T54" s="0">
        <f>IF(AND(T$9&gt;=$E54,T$9&lt;=$F54),"■","")</f>
      </c>
      <c r="U54" s="0">
        <f>IF(AND(U$9&gt;=$E54,U$9&lt;=$F54),"■","")</f>
      </c>
      <c r="V54" s="0">
        <f>IF(AND(V$9&gt;=$E54,V$9&lt;=$F54),"■","")</f>
      </c>
      <c r="W54" s="0">
        <f>IF(AND(W$9&gt;=$E54,W$9&lt;=$F54),"■","")</f>
      </c>
      <c r="X54" s="0">
        <f>IF(AND(X$9&gt;=$E54,X$9&lt;=$F54),"■","")</f>
      </c>
      <c r="Y54" s="0">
        <f>IF(AND(Y$9&gt;=$E54,Y$9&lt;=$F54),"■","")</f>
      </c>
      <c r="Z54" s="0">
        <f>IF(AND(Z$9&gt;=$E54,Z$9&lt;=$F54),"■","")</f>
      </c>
      <c r="AA54" s="0">
        <f>IF(AND(AA$9&gt;=$E54,AA$9&lt;=$F54),"■","")</f>
      </c>
      <c r="AB54" s="0">
        <f>IF(AND(AB$9&gt;=$E54,AB$9&lt;=$F54),"■","")</f>
      </c>
      <c r="AC54" s="0">
        <f>IF(AND(AC$9&gt;=$E54,AC$9&lt;=$F54),"■","")</f>
      </c>
      <c r="AD54" s="0">
        <f>IF(AND(AD$9&gt;=$E54,AD$9&lt;=$F54),"■","")</f>
      </c>
      <c r="AE54" s="0">
        <f>IF(AND(AE$9&gt;=$E54,AE$9&lt;=$F54),"■","")</f>
      </c>
      <c r="AF54" s="0">
        <f>IF(AND(AF$9&gt;=$E54,AF$9&lt;=$F54),"■","")</f>
      </c>
      <c r="AG54" s="0">
        <f>IF(AND(AG$9&gt;=$E54,AG$9&lt;=$F54),"■","")</f>
      </c>
      <c r="AH54" s="0">
        <f>IF(AND(AH$9&gt;=$E54,AH$9&lt;=$F54),"■","")</f>
      </c>
      <c r="AI54" s="0">
        <f>IF(AND(AI$9&gt;=$E54,AI$9&lt;=$F54),"■","")</f>
      </c>
      <c r="AJ54" s="0">
        <f>IF(AND(AJ$9&gt;=$E54,AJ$9&lt;=$F54),"■","")</f>
      </c>
      <c r="AK54" s="0">
        <f>IF(AND(AK$9&gt;=$E54,AK$9&lt;=$F54),"■","")</f>
      </c>
      <c r="AL54" s="0">
        <f>IF(AND(AL$9&gt;=$E54,AL$9&lt;=$F54),"■","")</f>
      </c>
      <c r="AM54" s="0">
        <f>IF(AND(AM$9&gt;=$E54,AM$9&lt;=$F54),"■","")</f>
      </c>
      <c r="AN54" s="0">
        <f>IF(AND(AN$9&gt;=$E54,AN$9&lt;=$F54),"■","")</f>
      </c>
      <c r="AO54" s="0">
        <f>IF(AND(AO$9&gt;=$E54,AO$9&lt;=$F54),"■","")</f>
      </c>
      <c r="AP54" s="0">
        <f>IF(AND(AP$9&gt;=$E54,AP$9&lt;=$F54),"■","")</f>
      </c>
      <c r="AQ54" s="0">
        <f>IF(AND(AQ$9&gt;=$E54,AQ$9&lt;=$F54),"■","")</f>
      </c>
      <c r="AR54" s="0">
        <f>IF(AND(AR$9&gt;=$E54,AR$9&lt;=$F54),"■","")</f>
      </c>
      <c r="AS54" s="0">
        <f>IF(AND(AS$9&gt;=$E54,AS$9&lt;=$F54),"■","")</f>
      </c>
      <c r="AT54" s="0">
        <f>IF(AND(AT$9&gt;=$E54,AT$9&lt;=$F54),"■","")</f>
      </c>
      <c r="AU54" s="0">
        <f>IF(AND(AU$9&gt;=$E54,AU$9&lt;=$F54),"■","")</f>
      </c>
      <c r="AV54" s="0">
        <f>IF(AND(AV$9&gt;=$E54,AV$9&lt;=$F54),"■","")</f>
      </c>
      <c r="AW54" s="0">
        <f>IF(AND(AW$9&gt;=$E54,AW$9&lt;=$F54),"■","")</f>
      </c>
      <c r="AX54" s="0">
        <f>IF(AND(AX$9&gt;=$E54,AX$9&lt;=$F54),"■","")</f>
      </c>
      <c r="AY54" s="0">
        <f>IF(AND(AY$9&gt;=$E54,AY$9&lt;=$F54),"■","")</f>
      </c>
      <c r="AZ54" s="0">
        <f>IF(AND(AZ$9&gt;=$E54,AZ$9&lt;=$F54),"■","")</f>
      </c>
      <c r="BA54" s="0">
        <f>IF(AND(BA$9&gt;=$E54,BA$9&lt;=$F54),"■","")</f>
      </c>
      <c r="BB54" s="0">
        <f>IF(AND(BB$9&gt;=$E54,BB$9&lt;=$F54),"■","")</f>
      </c>
      <c r="BC54" s="0">
        <f>IF(AND(BC$9&gt;=$E54,BC$9&lt;=$F54),"■","")</f>
      </c>
      <c r="BD54" s="0">
        <f>IF(AND(BD$9&gt;=$E54,BD$9&lt;=$F54),"■","")</f>
      </c>
      <c r="BE54" s="0">
        <f>IF(AND(BE$9&gt;=$E54,BE$9&lt;=$F54),"■","")</f>
      </c>
      <c r="BF54" s="0">
        <f>IF(AND(BF$9&gt;=$E54,BF$9&lt;=$F54),"■","")</f>
      </c>
      <c r="BG54" s="0">
        <f>IF(AND(BG$9&gt;=$E54,BG$9&lt;=$F54),"■","")</f>
      </c>
      <c r="BH54" s="0">
        <f>IF(AND(BH$9&gt;=$E54,BH$9&lt;=$F54),"■","")</f>
      </c>
      <c r="BI54" s="0">
        <f>IF(AND(BI$9&gt;=$E54,BI$9&lt;=$F54),"■","")</f>
      </c>
      <c r="BJ54" s="0">
        <f>IF(AND(BJ$9&gt;=$E54,BJ$9&lt;=$F54),"■","")</f>
      </c>
      <c r="BK54" s="0">
        <f>IF(AND(BK$9&gt;=$E54,BK$9&lt;=$F54),"■","")</f>
      </c>
      <c r="BL54" s="0">
        <f>IF(AND(BL$9&gt;=$E54,BL$9&lt;=$F54),"■","")</f>
      </c>
      <c r="BM54" s="0">
        <f>IF(AND(BM$9&gt;=$E54,BM$9&lt;=$F54),"■","")</f>
      </c>
      <c r="BN54" s="0">
        <f>IF(AND(BN$9&gt;=$E54,BN$9&lt;=$F54),"■","")</f>
      </c>
      <c r="BO54" s="0">
        <f>IF(AND(BO$9&gt;=$E54,BO$9&lt;=$F54),"■","")</f>
      </c>
      <c r="BP54" s="0">
        <f>IF(AND(BP$9&gt;=$E54,BP$9&lt;=$F54),"■","")</f>
      </c>
      <c r="BQ54" s="0">
        <f>IF(AND(BQ$9&gt;=$E54,BQ$9&lt;=$F54),"■","")</f>
      </c>
      <c r="BR54" s="0">
        <f>IF(AND(BR$9&gt;=$E54,BR$9&lt;=$F54),"■","")</f>
      </c>
      <c r="BS54" s="0">
        <f>IF(AND(BS$9&gt;=$E54,BS$9&lt;=$F54),"■","")</f>
      </c>
      <c r="BT54" s="0">
        <f>IF(AND(BT$9&gt;=$E54,BT$9&lt;=$F54),"■","")</f>
      </c>
      <c r="BU54" s="0">
        <f>IF(AND(BU$9&gt;=$E54,BU$9&lt;=$F54),"■","")</f>
      </c>
      <c r="BV54" s="0">
        <f>IF(AND(BV$9&gt;=$E54,BV$9&lt;=$F54),"■","")</f>
      </c>
      <c r="BW54" s="0">
        <f>IF(AND(BW$9&gt;=$E54,BW$9&lt;=$F54),"■","")</f>
      </c>
    </row>
    <row r="55">
      <c r="A55" s="0" t="inlineStr">
        <is>
          <t>P002-045</t>
        </is>
      </c>
      <c r="B55" s="0" t="inlineStr">
        <is>
          <t/>
        </is>
      </c>
      <c r="C55" s="0" t="inlineStr">
        <is>
          <t/>
        </is>
      </c>
      <c r="D55" s="0" t="inlineStr">
        <is>
          <t/>
        </is>
      </c>
      <c r="E55" s="0" t="inlineStr">
        <is>
          <t/>
        </is>
      </c>
      <c r="F55" s="0" t="inlineStr">
        <is>
          <t/>
        </is>
      </c>
      <c r="G55" s="0" t="inlineStr">
        <is>
          <t/>
        </is>
      </c>
      <c r="H55" s="0" t="inlineStr">
        <is>
          <t/>
        </is>
      </c>
      <c r="I55" s="0" t="inlineStr">
        <is>
          <t/>
        </is>
      </c>
      <c r="J55" s="0">
        <f>SUMIFS('Suivi Temps'!$D:$D,'Suivi Temps'!$A:$A,"P002-045")</f>
      </c>
      <c r="K55" s="0" t="inlineStr">
        <is>
          <t/>
        </is>
      </c>
      <c r="L55" s="0" t="inlineStr">
        <is>
          <t/>
        </is>
      </c>
      <c r="M55" s="0" t="inlineStr">
        <is>
          <t/>
        </is>
      </c>
      <c r="N55" s="0" t="inlineStr">
        <is>
          <t/>
        </is>
      </c>
      <c r="O55" s="0" t="inlineStr">
        <is>
          <t/>
        </is>
      </c>
      <c r="P55" s="0">
        <f>IF(AND(P$9&gt;=$E55,P$9&lt;=$F55),"■","")</f>
      </c>
      <c r="Q55" s="0">
        <f>IF(AND(Q$9&gt;=$E55,Q$9&lt;=$F55),"■","")</f>
      </c>
      <c r="R55" s="0">
        <f>IF(AND(R$9&gt;=$E55,R$9&lt;=$F55),"■","")</f>
      </c>
      <c r="S55" s="0">
        <f>IF(AND(S$9&gt;=$E55,S$9&lt;=$F55),"■","")</f>
      </c>
      <c r="T55" s="0">
        <f>IF(AND(T$9&gt;=$E55,T$9&lt;=$F55),"■","")</f>
      </c>
      <c r="U55" s="0">
        <f>IF(AND(U$9&gt;=$E55,U$9&lt;=$F55),"■","")</f>
      </c>
      <c r="V55" s="0">
        <f>IF(AND(V$9&gt;=$E55,V$9&lt;=$F55),"■","")</f>
      </c>
      <c r="W55" s="0">
        <f>IF(AND(W$9&gt;=$E55,W$9&lt;=$F55),"■","")</f>
      </c>
      <c r="X55" s="0">
        <f>IF(AND(X$9&gt;=$E55,X$9&lt;=$F55),"■","")</f>
      </c>
      <c r="Y55" s="0">
        <f>IF(AND(Y$9&gt;=$E55,Y$9&lt;=$F55),"■","")</f>
      </c>
      <c r="Z55" s="0">
        <f>IF(AND(Z$9&gt;=$E55,Z$9&lt;=$F55),"■","")</f>
      </c>
      <c r="AA55" s="0">
        <f>IF(AND(AA$9&gt;=$E55,AA$9&lt;=$F55),"■","")</f>
      </c>
      <c r="AB55" s="0">
        <f>IF(AND(AB$9&gt;=$E55,AB$9&lt;=$F55),"■","")</f>
      </c>
      <c r="AC55" s="0">
        <f>IF(AND(AC$9&gt;=$E55,AC$9&lt;=$F55),"■","")</f>
      </c>
      <c r="AD55" s="0">
        <f>IF(AND(AD$9&gt;=$E55,AD$9&lt;=$F55),"■","")</f>
      </c>
      <c r="AE55" s="0">
        <f>IF(AND(AE$9&gt;=$E55,AE$9&lt;=$F55),"■","")</f>
      </c>
      <c r="AF55" s="0">
        <f>IF(AND(AF$9&gt;=$E55,AF$9&lt;=$F55),"■","")</f>
      </c>
      <c r="AG55" s="0">
        <f>IF(AND(AG$9&gt;=$E55,AG$9&lt;=$F55),"■","")</f>
      </c>
      <c r="AH55" s="0">
        <f>IF(AND(AH$9&gt;=$E55,AH$9&lt;=$F55),"■","")</f>
      </c>
      <c r="AI55" s="0">
        <f>IF(AND(AI$9&gt;=$E55,AI$9&lt;=$F55),"■","")</f>
      </c>
      <c r="AJ55" s="0">
        <f>IF(AND(AJ$9&gt;=$E55,AJ$9&lt;=$F55),"■","")</f>
      </c>
      <c r="AK55" s="0">
        <f>IF(AND(AK$9&gt;=$E55,AK$9&lt;=$F55),"■","")</f>
      </c>
      <c r="AL55" s="0">
        <f>IF(AND(AL$9&gt;=$E55,AL$9&lt;=$F55),"■","")</f>
      </c>
      <c r="AM55" s="0">
        <f>IF(AND(AM$9&gt;=$E55,AM$9&lt;=$F55),"■","")</f>
      </c>
      <c r="AN55" s="0">
        <f>IF(AND(AN$9&gt;=$E55,AN$9&lt;=$F55),"■","")</f>
      </c>
      <c r="AO55" s="0">
        <f>IF(AND(AO$9&gt;=$E55,AO$9&lt;=$F55),"■","")</f>
      </c>
      <c r="AP55" s="0">
        <f>IF(AND(AP$9&gt;=$E55,AP$9&lt;=$F55),"■","")</f>
      </c>
      <c r="AQ55" s="0">
        <f>IF(AND(AQ$9&gt;=$E55,AQ$9&lt;=$F55),"■","")</f>
      </c>
      <c r="AR55" s="0">
        <f>IF(AND(AR$9&gt;=$E55,AR$9&lt;=$F55),"■","")</f>
      </c>
      <c r="AS55" s="0">
        <f>IF(AND(AS$9&gt;=$E55,AS$9&lt;=$F55),"■","")</f>
      </c>
      <c r="AT55" s="0">
        <f>IF(AND(AT$9&gt;=$E55,AT$9&lt;=$F55),"■","")</f>
      </c>
      <c r="AU55" s="0">
        <f>IF(AND(AU$9&gt;=$E55,AU$9&lt;=$F55),"■","")</f>
      </c>
      <c r="AV55" s="0">
        <f>IF(AND(AV$9&gt;=$E55,AV$9&lt;=$F55),"■","")</f>
      </c>
      <c r="AW55" s="0">
        <f>IF(AND(AW$9&gt;=$E55,AW$9&lt;=$F55),"■","")</f>
      </c>
      <c r="AX55" s="0">
        <f>IF(AND(AX$9&gt;=$E55,AX$9&lt;=$F55),"■","")</f>
      </c>
      <c r="AY55" s="0">
        <f>IF(AND(AY$9&gt;=$E55,AY$9&lt;=$F55),"■","")</f>
      </c>
      <c r="AZ55" s="0">
        <f>IF(AND(AZ$9&gt;=$E55,AZ$9&lt;=$F55),"■","")</f>
      </c>
      <c r="BA55" s="0">
        <f>IF(AND(BA$9&gt;=$E55,BA$9&lt;=$F55),"■","")</f>
      </c>
      <c r="BB55" s="0">
        <f>IF(AND(BB$9&gt;=$E55,BB$9&lt;=$F55),"■","")</f>
      </c>
      <c r="BC55" s="0">
        <f>IF(AND(BC$9&gt;=$E55,BC$9&lt;=$F55),"■","")</f>
      </c>
      <c r="BD55" s="0">
        <f>IF(AND(BD$9&gt;=$E55,BD$9&lt;=$F55),"■","")</f>
      </c>
      <c r="BE55" s="0">
        <f>IF(AND(BE$9&gt;=$E55,BE$9&lt;=$F55),"■","")</f>
      </c>
      <c r="BF55" s="0">
        <f>IF(AND(BF$9&gt;=$E55,BF$9&lt;=$F55),"■","")</f>
      </c>
      <c r="BG55" s="0">
        <f>IF(AND(BG$9&gt;=$E55,BG$9&lt;=$F55),"■","")</f>
      </c>
      <c r="BH55" s="0">
        <f>IF(AND(BH$9&gt;=$E55,BH$9&lt;=$F55),"■","")</f>
      </c>
      <c r="BI55" s="0">
        <f>IF(AND(BI$9&gt;=$E55,BI$9&lt;=$F55),"■","")</f>
      </c>
      <c r="BJ55" s="0">
        <f>IF(AND(BJ$9&gt;=$E55,BJ$9&lt;=$F55),"■","")</f>
      </c>
      <c r="BK55" s="0">
        <f>IF(AND(BK$9&gt;=$E55,BK$9&lt;=$F55),"■","")</f>
      </c>
      <c r="BL55" s="0">
        <f>IF(AND(BL$9&gt;=$E55,BL$9&lt;=$F55),"■","")</f>
      </c>
      <c r="BM55" s="0">
        <f>IF(AND(BM$9&gt;=$E55,BM$9&lt;=$F55),"■","")</f>
      </c>
      <c r="BN55" s="0">
        <f>IF(AND(BN$9&gt;=$E55,BN$9&lt;=$F55),"■","")</f>
      </c>
      <c r="BO55" s="0">
        <f>IF(AND(BO$9&gt;=$E55,BO$9&lt;=$F55),"■","")</f>
      </c>
      <c r="BP55" s="0">
        <f>IF(AND(BP$9&gt;=$E55,BP$9&lt;=$F55),"■","")</f>
      </c>
      <c r="BQ55" s="0">
        <f>IF(AND(BQ$9&gt;=$E55,BQ$9&lt;=$F55),"■","")</f>
      </c>
      <c r="BR55" s="0">
        <f>IF(AND(BR$9&gt;=$E55,BR$9&lt;=$F55),"■","")</f>
      </c>
      <c r="BS55" s="0">
        <f>IF(AND(BS$9&gt;=$E55,BS$9&lt;=$F55),"■","")</f>
      </c>
      <c r="BT55" s="0">
        <f>IF(AND(BT$9&gt;=$E55,BT$9&lt;=$F55),"■","")</f>
      </c>
      <c r="BU55" s="0">
        <f>IF(AND(BU$9&gt;=$E55,BU$9&lt;=$F55),"■","")</f>
      </c>
      <c r="BV55" s="0">
        <f>IF(AND(BV$9&gt;=$E55,BV$9&lt;=$F55),"■","")</f>
      </c>
      <c r="BW55" s="0">
        <f>IF(AND(BW$9&gt;=$E55,BW$9&lt;=$F55),"■","")</f>
      </c>
    </row>
    <row r="56">
      <c r="A56" s="0" t="inlineStr">
        <is>
          <t>P002-046</t>
        </is>
      </c>
      <c r="B56" s="0" t="inlineStr">
        <is>
          <t/>
        </is>
      </c>
      <c r="C56" s="0" t="inlineStr">
        <is>
          <t/>
        </is>
      </c>
      <c r="D56" s="0" t="inlineStr">
        <is>
          <t/>
        </is>
      </c>
      <c r="E56" s="0" t="inlineStr">
        <is>
          <t/>
        </is>
      </c>
      <c r="F56" s="0" t="inlineStr">
        <is>
          <t/>
        </is>
      </c>
      <c r="G56" s="0" t="inlineStr">
        <is>
          <t/>
        </is>
      </c>
      <c r="H56" s="0" t="inlineStr">
        <is>
          <t/>
        </is>
      </c>
      <c r="I56" s="0" t="inlineStr">
        <is>
          <t/>
        </is>
      </c>
      <c r="J56" s="0">
        <f>SUMIFS('Suivi Temps'!$D:$D,'Suivi Temps'!$A:$A,"P002-046")</f>
      </c>
      <c r="K56" s="0" t="inlineStr">
        <is>
          <t/>
        </is>
      </c>
      <c r="L56" s="0" t="inlineStr">
        <is>
          <t/>
        </is>
      </c>
      <c r="M56" s="0" t="inlineStr">
        <is>
          <t/>
        </is>
      </c>
      <c r="N56" s="0" t="inlineStr">
        <is>
          <t/>
        </is>
      </c>
      <c r="O56" s="0" t="inlineStr">
        <is>
          <t/>
        </is>
      </c>
      <c r="P56" s="0">
        <f>IF(AND(P$9&gt;=$E56,P$9&lt;=$F56),"■","")</f>
      </c>
      <c r="Q56" s="0">
        <f>IF(AND(Q$9&gt;=$E56,Q$9&lt;=$F56),"■","")</f>
      </c>
      <c r="R56" s="0">
        <f>IF(AND(R$9&gt;=$E56,R$9&lt;=$F56),"■","")</f>
      </c>
      <c r="S56" s="0">
        <f>IF(AND(S$9&gt;=$E56,S$9&lt;=$F56),"■","")</f>
      </c>
      <c r="T56" s="0">
        <f>IF(AND(T$9&gt;=$E56,T$9&lt;=$F56),"■","")</f>
      </c>
      <c r="U56" s="0">
        <f>IF(AND(U$9&gt;=$E56,U$9&lt;=$F56),"■","")</f>
      </c>
      <c r="V56" s="0">
        <f>IF(AND(V$9&gt;=$E56,V$9&lt;=$F56),"■","")</f>
      </c>
      <c r="W56" s="0">
        <f>IF(AND(W$9&gt;=$E56,W$9&lt;=$F56),"■","")</f>
      </c>
      <c r="X56" s="0">
        <f>IF(AND(X$9&gt;=$E56,X$9&lt;=$F56),"■","")</f>
      </c>
      <c r="Y56" s="0">
        <f>IF(AND(Y$9&gt;=$E56,Y$9&lt;=$F56),"■","")</f>
      </c>
      <c r="Z56" s="0">
        <f>IF(AND(Z$9&gt;=$E56,Z$9&lt;=$F56),"■","")</f>
      </c>
      <c r="AA56" s="0">
        <f>IF(AND(AA$9&gt;=$E56,AA$9&lt;=$F56),"■","")</f>
      </c>
      <c r="AB56" s="0">
        <f>IF(AND(AB$9&gt;=$E56,AB$9&lt;=$F56),"■","")</f>
      </c>
      <c r="AC56" s="0">
        <f>IF(AND(AC$9&gt;=$E56,AC$9&lt;=$F56),"■","")</f>
      </c>
      <c r="AD56" s="0">
        <f>IF(AND(AD$9&gt;=$E56,AD$9&lt;=$F56),"■","")</f>
      </c>
      <c r="AE56" s="0">
        <f>IF(AND(AE$9&gt;=$E56,AE$9&lt;=$F56),"■","")</f>
      </c>
      <c r="AF56" s="0">
        <f>IF(AND(AF$9&gt;=$E56,AF$9&lt;=$F56),"■","")</f>
      </c>
      <c r="AG56" s="0">
        <f>IF(AND(AG$9&gt;=$E56,AG$9&lt;=$F56),"■","")</f>
      </c>
      <c r="AH56" s="0">
        <f>IF(AND(AH$9&gt;=$E56,AH$9&lt;=$F56),"■","")</f>
      </c>
      <c r="AI56" s="0">
        <f>IF(AND(AI$9&gt;=$E56,AI$9&lt;=$F56),"■","")</f>
      </c>
      <c r="AJ56" s="0">
        <f>IF(AND(AJ$9&gt;=$E56,AJ$9&lt;=$F56),"■","")</f>
      </c>
      <c r="AK56" s="0">
        <f>IF(AND(AK$9&gt;=$E56,AK$9&lt;=$F56),"■","")</f>
      </c>
      <c r="AL56" s="0">
        <f>IF(AND(AL$9&gt;=$E56,AL$9&lt;=$F56),"■","")</f>
      </c>
      <c r="AM56" s="0">
        <f>IF(AND(AM$9&gt;=$E56,AM$9&lt;=$F56),"■","")</f>
      </c>
      <c r="AN56" s="0">
        <f>IF(AND(AN$9&gt;=$E56,AN$9&lt;=$F56),"■","")</f>
      </c>
      <c r="AO56" s="0">
        <f>IF(AND(AO$9&gt;=$E56,AO$9&lt;=$F56),"■","")</f>
      </c>
      <c r="AP56" s="0">
        <f>IF(AND(AP$9&gt;=$E56,AP$9&lt;=$F56),"■","")</f>
      </c>
      <c r="AQ56" s="0">
        <f>IF(AND(AQ$9&gt;=$E56,AQ$9&lt;=$F56),"■","")</f>
      </c>
      <c r="AR56" s="0">
        <f>IF(AND(AR$9&gt;=$E56,AR$9&lt;=$F56),"■","")</f>
      </c>
      <c r="AS56" s="0">
        <f>IF(AND(AS$9&gt;=$E56,AS$9&lt;=$F56),"■","")</f>
      </c>
      <c r="AT56" s="0">
        <f>IF(AND(AT$9&gt;=$E56,AT$9&lt;=$F56),"■","")</f>
      </c>
      <c r="AU56" s="0">
        <f>IF(AND(AU$9&gt;=$E56,AU$9&lt;=$F56),"■","")</f>
      </c>
      <c r="AV56" s="0">
        <f>IF(AND(AV$9&gt;=$E56,AV$9&lt;=$F56),"■","")</f>
      </c>
      <c r="AW56" s="0">
        <f>IF(AND(AW$9&gt;=$E56,AW$9&lt;=$F56),"■","")</f>
      </c>
      <c r="AX56" s="0">
        <f>IF(AND(AX$9&gt;=$E56,AX$9&lt;=$F56),"■","")</f>
      </c>
      <c r="AY56" s="0">
        <f>IF(AND(AY$9&gt;=$E56,AY$9&lt;=$F56),"■","")</f>
      </c>
      <c r="AZ56" s="0">
        <f>IF(AND(AZ$9&gt;=$E56,AZ$9&lt;=$F56),"■","")</f>
      </c>
      <c r="BA56" s="0">
        <f>IF(AND(BA$9&gt;=$E56,BA$9&lt;=$F56),"■","")</f>
      </c>
      <c r="BB56" s="0">
        <f>IF(AND(BB$9&gt;=$E56,BB$9&lt;=$F56),"■","")</f>
      </c>
      <c r="BC56" s="0">
        <f>IF(AND(BC$9&gt;=$E56,BC$9&lt;=$F56),"■","")</f>
      </c>
      <c r="BD56" s="0">
        <f>IF(AND(BD$9&gt;=$E56,BD$9&lt;=$F56),"■","")</f>
      </c>
      <c r="BE56" s="0">
        <f>IF(AND(BE$9&gt;=$E56,BE$9&lt;=$F56),"■","")</f>
      </c>
      <c r="BF56" s="0">
        <f>IF(AND(BF$9&gt;=$E56,BF$9&lt;=$F56),"■","")</f>
      </c>
      <c r="BG56" s="0">
        <f>IF(AND(BG$9&gt;=$E56,BG$9&lt;=$F56),"■","")</f>
      </c>
      <c r="BH56" s="0">
        <f>IF(AND(BH$9&gt;=$E56,BH$9&lt;=$F56),"■","")</f>
      </c>
      <c r="BI56" s="0">
        <f>IF(AND(BI$9&gt;=$E56,BI$9&lt;=$F56),"■","")</f>
      </c>
      <c r="BJ56" s="0">
        <f>IF(AND(BJ$9&gt;=$E56,BJ$9&lt;=$F56),"■","")</f>
      </c>
      <c r="BK56" s="0">
        <f>IF(AND(BK$9&gt;=$E56,BK$9&lt;=$F56),"■","")</f>
      </c>
      <c r="BL56" s="0">
        <f>IF(AND(BL$9&gt;=$E56,BL$9&lt;=$F56),"■","")</f>
      </c>
      <c r="BM56" s="0">
        <f>IF(AND(BM$9&gt;=$E56,BM$9&lt;=$F56),"■","")</f>
      </c>
      <c r="BN56" s="0">
        <f>IF(AND(BN$9&gt;=$E56,BN$9&lt;=$F56),"■","")</f>
      </c>
      <c r="BO56" s="0">
        <f>IF(AND(BO$9&gt;=$E56,BO$9&lt;=$F56),"■","")</f>
      </c>
      <c r="BP56" s="0">
        <f>IF(AND(BP$9&gt;=$E56,BP$9&lt;=$F56),"■","")</f>
      </c>
      <c r="BQ56" s="0">
        <f>IF(AND(BQ$9&gt;=$E56,BQ$9&lt;=$F56),"■","")</f>
      </c>
      <c r="BR56" s="0">
        <f>IF(AND(BR$9&gt;=$E56,BR$9&lt;=$F56),"■","")</f>
      </c>
      <c r="BS56" s="0">
        <f>IF(AND(BS$9&gt;=$E56,BS$9&lt;=$F56),"■","")</f>
      </c>
      <c r="BT56" s="0">
        <f>IF(AND(BT$9&gt;=$E56,BT$9&lt;=$F56),"■","")</f>
      </c>
      <c r="BU56" s="0">
        <f>IF(AND(BU$9&gt;=$E56,BU$9&lt;=$F56),"■","")</f>
      </c>
      <c r="BV56" s="0">
        <f>IF(AND(BV$9&gt;=$E56,BV$9&lt;=$F56),"■","")</f>
      </c>
      <c r="BW56" s="0">
        <f>IF(AND(BW$9&gt;=$E56,BW$9&lt;=$F56),"■","")</f>
      </c>
    </row>
    <row r="57">
      <c r="A57" s="0" t="inlineStr">
        <is>
          <t>P002-047</t>
        </is>
      </c>
      <c r="B57" s="0" t="inlineStr">
        <is>
          <t/>
        </is>
      </c>
      <c r="C57" s="0" t="inlineStr">
        <is>
          <t/>
        </is>
      </c>
      <c r="D57" s="0" t="inlineStr">
        <is>
          <t/>
        </is>
      </c>
      <c r="E57" s="0" t="inlineStr">
        <is>
          <t/>
        </is>
      </c>
      <c r="F57" s="0" t="inlineStr">
        <is>
          <t/>
        </is>
      </c>
      <c r="G57" s="0" t="inlineStr">
        <is>
          <t/>
        </is>
      </c>
      <c r="H57" s="0" t="inlineStr">
        <is>
          <t/>
        </is>
      </c>
      <c r="I57" s="0" t="inlineStr">
        <is>
          <t/>
        </is>
      </c>
      <c r="J57" s="0">
        <f>SUMIFS('Suivi Temps'!$D:$D,'Suivi Temps'!$A:$A,"P002-047")</f>
      </c>
      <c r="K57" s="0" t="inlineStr">
        <is>
          <t/>
        </is>
      </c>
      <c r="L57" s="0" t="inlineStr">
        <is>
          <t/>
        </is>
      </c>
      <c r="M57" s="0" t="inlineStr">
        <is>
          <t/>
        </is>
      </c>
      <c r="N57" s="0" t="inlineStr">
        <is>
          <t/>
        </is>
      </c>
      <c r="O57" s="0" t="inlineStr">
        <is>
          <t/>
        </is>
      </c>
      <c r="P57" s="0">
        <f>IF(AND(P$9&gt;=$E57,P$9&lt;=$F57),"■","")</f>
      </c>
      <c r="Q57" s="0">
        <f>IF(AND(Q$9&gt;=$E57,Q$9&lt;=$F57),"■","")</f>
      </c>
      <c r="R57" s="0">
        <f>IF(AND(R$9&gt;=$E57,R$9&lt;=$F57),"■","")</f>
      </c>
      <c r="S57" s="0">
        <f>IF(AND(S$9&gt;=$E57,S$9&lt;=$F57),"■","")</f>
      </c>
      <c r="T57" s="0">
        <f>IF(AND(T$9&gt;=$E57,T$9&lt;=$F57),"■","")</f>
      </c>
      <c r="U57" s="0">
        <f>IF(AND(U$9&gt;=$E57,U$9&lt;=$F57),"■","")</f>
      </c>
      <c r="V57" s="0">
        <f>IF(AND(V$9&gt;=$E57,V$9&lt;=$F57),"■","")</f>
      </c>
      <c r="W57" s="0">
        <f>IF(AND(W$9&gt;=$E57,W$9&lt;=$F57),"■","")</f>
      </c>
      <c r="X57" s="0">
        <f>IF(AND(X$9&gt;=$E57,X$9&lt;=$F57),"■","")</f>
      </c>
      <c r="Y57" s="0">
        <f>IF(AND(Y$9&gt;=$E57,Y$9&lt;=$F57),"■","")</f>
      </c>
      <c r="Z57" s="0">
        <f>IF(AND(Z$9&gt;=$E57,Z$9&lt;=$F57),"■","")</f>
      </c>
      <c r="AA57" s="0">
        <f>IF(AND(AA$9&gt;=$E57,AA$9&lt;=$F57),"■","")</f>
      </c>
      <c r="AB57" s="0">
        <f>IF(AND(AB$9&gt;=$E57,AB$9&lt;=$F57),"■","")</f>
      </c>
      <c r="AC57" s="0">
        <f>IF(AND(AC$9&gt;=$E57,AC$9&lt;=$F57),"■","")</f>
      </c>
      <c r="AD57" s="0">
        <f>IF(AND(AD$9&gt;=$E57,AD$9&lt;=$F57),"■","")</f>
      </c>
      <c r="AE57" s="0">
        <f>IF(AND(AE$9&gt;=$E57,AE$9&lt;=$F57),"■","")</f>
      </c>
      <c r="AF57" s="0">
        <f>IF(AND(AF$9&gt;=$E57,AF$9&lt;=$F57),"■","")</f>
      </c>
      <c r="AG57" s="0">
        <f>IF(AND(AG$9&gt;=$E57,AG$9&lt;=$F57),"■","")</f>
      </c>
      <c r="AH57" s="0">
        <f>IF(AND(AH$9&gt;=$E57,AH$9&lt;=$F57),"■","")</f>
      </c>
      <c r="AI57" s="0">
        <f>IF(AND(AI$9&gt;=$E57,AI$9&lt;=$F57),"■","")</f>
      </c>
      <c r="AJ57" s="0">
        <f>IF(AND(AJ$9&gt;=$E57,AJ$9&lt;=$F57),"■","")</f>
      </c>
      <c r="AK57" s="0">
        <f>IF(AND(AK$9&gt;=$E57,AK$9&lt;=$F57),"■","")</f>
      </c>
      <c r="AL57" s="0">
        <f>IF(AND(AL$9&gt;=$E57,AL$9&lt;=$F57),"■","")</f>
      </c>
      <c r="AM57" s="0">
        <f>IF(AND(AM$9&gt;=$E57,AM$9&lt;=$F57),"■","")</f>
      </c>
      <c r="AN57" s="0">
        <f>IF(AND(AN$9&gt;=$E57,AN$9&lt;=$F57),"■","")</f>
      </c>
      <c r="AO57" s="0">
        <f>IF(AND(AO$9&gt;=$E57,AO$9&lt;=$F57),"■","")</f>
      </c>
      <c r="AP57" s="0">
        <f>IF(AND(AP$9&gt;=$E57,AP$9&lt;=$F57),"■","")</f>
      </c>
      <c r="AQ57" s="0">
        <f>IF(AND(AQ$9&gt;=$E57,AQ$9&lt;=$F57),"■","")</f>
      </c>
      <c r="AR57" s="0">
        <f>IF(AND(AR$9&gt;=$E57,AR$9&lt;=$F57),"■","")</f>
      </c>
      <c r="AS57" s="0">
        <f>IF(AND(AS$9&gt;=$E57,AS$9&lt;=$F57),"■","")</f>
      </c>
      <c r="AT57" s="0">
        <f>IF(AND(AT$9&gt;=$E57,AT$9&lt;=$F57),"■","")</f>
      </c>
      <c r="AU57" s="0">
        <f>IF(AND(AU$9&gt;=$E57,AU$9&lt;=$F57),"■","")</f>
      </c>
      <c r="AV57" s="0">
        <f>IF(AND(AV$9&gt;=$E57,AV$9&lt;=$F57),"■","")</f>
      </c>
      <c r="AW57" s="0">
        <f>IF(AND(AW$9&gt;=$E57,AW$9&lt;=$F57),"■","")</f>
      </c>
      <c r="AX57" s="0">
        <f>IF(AND(AX$9&gt;=$E57,AX$9&lt;=$F57),"■","")</f>
      </c>
      <c r="AY57" s="0">
        <f>IF(AND(AY$9&gt;=$E57,AY$9&lt;=$F57),"■","")</f>
      </c>
      <c r="AZ57" s="0">
        <f>IF(AND(AZ$9&gt;=$E57,AZ$9&lt;=$F57),"■","")</f>
      </c>
      <c r="BA57" s="0">
        <f>IF(AND(BA$9&gt;=$E57,BA$9&lt;=$F57),"■","")</f>
      </c>
      <c r="BB57" s="0">
        <f>IF(AND(BB$9&gt;=$E57,BB$9&lt;=$F57),"■","")</f>
      </c>
      <c r="BC57" s="0">
        <f>IF(AND(BC$9&gt;=$E57,BC$9&lt;=$F57),"■","")</f>
      </c>
      <c r="BD57" s="0">
        <f>IF(AND(BD$9&gt;=$E57,BD$9&lt;=$F57),"■","")</f>
      </c>
      <c r="BE57" s="0">
        <f>IF(AND(BE$9&gt;=$E57,BE$9&lt;=$F57),"■","")</f>
      </c>
      <c r="BF57" s="0">
        <f>IF(AND(BF$9&gt;=$E57,BF$9&lt;=$F57),"■","")</f>
      </c>
      <c r="BG57" s="0">
        <f>IF(AND(BG$9&gt;=$E57,BG$9&lt;=$F57),"■","")</f>
      </c>
      <c r="BH57" s="0">
        <f>IF(AND(BH$9&gt;=$E57,BH$9&lt;=$F57),"■","")</f>
      </c>
      <c r="BI57" s="0">
        <f>IF(AND(BI$9&gt;=$E57,BI$9&lt;=$F57),"■","")</f>
      </c>
      <c r="BJ57" s="0">
        <f>IF(AND(BJ$9&gt;=$E57,BJ$9&lt;=$F57),"■","")</f>
      </c>
      <c r="BK57" s="0">
        <f>IF(AND(BK$9&gt;=$E57,BK$9&lt;=$F57),"■","")</f>
      </c>
      <c r="BL57" s="0">
        <f>IF(AND(BL$9&gt;=$E57,BL$9&lt;=$F57),"■","")</f>
      </c>
      <c r="BM57" s="0">
        <f>IF(AND(BM$9&gt;=$E57,BM$9&lt;=$F57),"■","")</f>
      </c>
      <c r="BN57" s="0">
        <f>IF(AND(BN$9&gt;=$E57,BN$9&lt;=$F57),"■","")</f>
      </c>
      <c r="BO57" s="0">
        <f>IF(AND(BO$9&gt;=$E57,BO$9&lt;=$F57),"■","")</f>
      </c>
      <c r="BP57" s="0">
        <f>IF(AND(BP$9&gt;=$E57,BP$9&lt;=$F57),"■","")</f>
      </c>
      <c r="BQ57" s="0">
        <f>IF(AND(BQ$9&gt;=$E57,BQ$9&lt;=$F57),"■","")</f>
      </c>
      <c r="BR57" s="0">
        <f>IF(AND(BR$9&gt;=$E57,BR$9&lt;=$F57),"■","")</f>
      </c>
      <c r="BS57" s="0">
        <f>IF(AND(BS$9&gt;=$E57,BS$9&lt;=$F57),"■","")</f>
      </c>
      <c r="BT57" s="0">
        <f>IF(AND(BT$9&gt;=$E57,BT$9&lt;=$F57),"■","")</f>
      </c>
      <c r="BU57" s="0">
        <f>IF(AND(BU$9&gt;=$E57,BU$9&lt;=$F57),"■","")</f>
      </c>
      <c r="BV57" s="0">
        <f>IF(AND(BV$9&gt;=$E57,BV$9&lt;=$F57),"■","")</f>
      </c>
      <c r="BW57" s="0">
        <f>IF(AND(BW$9&gt;=$E57,BW$9&lt;=$F57),"■","")</f>
      </c>
    </row>
    <row r="58">
      <c r="A58" s="0" t="inlineStr">
        <is>
          <t>P002-048</t>
        </is>
      </c>
      <c r="B58" s="0" t="inlineStr">
        <is>
          <t/>
        </is>
      </c>
      <c r="C58" s="0" t="inlineStr">
        <is>
          <t/>
        </is>
      </c>
      <c r="D58" s="0" t="inlineStr">
        <is>
          <t/>
        </is>
      </c>
      <c r="E58" s="0" t="inlineStr">
        <is>
          <t/>
        </is>
      </c>
      <c r="F58" s="0" t="inlineStr">
        <is>
          <t/>
        </is>
      </c>
      <c r="G58" s="0" t="inlineStr">
        <is>
          <t/>
        </is>
      </c>
      <c r="H58" s="0" t="inlineStr">
        <is>
          <t/>
        </is>
      </c>
      <c r="I58" s="0" t="inlineStr">
        <is>
          <t/>
        </is>
      </c>
      <c r="J58" s="0">
        <f>SUMIFS('Suivi Temps'!$D:$D,'Suivi Temps'!$A:$A,"P002-048")</f>
      </c>
      <c r="K58" s="0" t="inlineStr">
        <is>
          <t/>
        </is>
      </c>
      <c r="L58" s="0" t="inlineStr">
        <is>
          <t/>
        </is>
      </c>
      <c r="M58" s="0" t="inlineStr">
        <is>
          <t/>
        </is>
      </c>
      <c r="N58" s="0" t="inlineStr">
        <is>
          <t/>
        </is>
      </c>
      <c r="O58" s="0" t="inlineStr">
        <is>
          <t/>
        </is>
      </c>
      <c r="P58" s="0">
        <f>IF(AND(P$9&gt;=$E58,P$9&lt;=$F58),"■","")</f>
      </c>
      <c r="Q58" s="0">
        <f>IF(AND(Q$9&gt;=$E58,Q$9&lt;=$F58),"■","")</f>
      </c>
      <c r="R58" s="0">
        <f>IF(AND(R$9&gt;=$E58,R$9&lt;=$F58),"■","")</f>
      </c>
      <c r="S58" s="0">
        <f>IF(AND(S$9&gt;=$E58,S$9&lt;=$F58),"■","")</f>
      </c>
      <c r="T58" s="0">
        <f>IF(AND(T$9&gt;=$E58,T$9&lt;=$F58),"■","")</f>
      </c>
      <c r="U58" s="0">
        <f>IF(AND(U$9&gt;=$E58,U$9&lt;=$F58),"■","")</f>
      </c>
      <c r="V58" s="0">
        <f>IF(AND(V$9&gt;=$E58,V$9&lt;=$F58),"■","")</f>
      </c>
      <c r="W58" s="0">
        <f>IF(AND(W$9&gt;=$E58,W$9&lt;=$F58),"■","")</f>
      </c>
      <c r="X58" s="0">
        <f>IF(AND(X$9&gt;=$E58,X$9&lt;=$F58),"■","")</f>
      </c>
      <c r="Y58" s="0">
        <f>IF(AND(Y$9&gt;=$E58,Y$9&lt;=$F58),"■","")</f>
      </c>
      <c r="Z58" s="0">
        <f>IF(AND(Z$9&gt;=$E58,Z$9&lt;=$F58),"■","")</f>
      </c>
      <c r="AA58" s="0">
        <f>IF(AND(AA$9&gt;=$E58,AA$9&lt;=$F58),"■","")</f>
      </c>
      <c r="AB58" s="0">
        <f>IF(AND(AB$9&gt;=$E58,AB$9&lt;=$F58),"■","")</f>
      </c>
      <c r="AC58" s="0">
        <f>IF(AND(AC$9&gt;=$E58,AC$9&lt;=$F58),"■","")</f>
      </c>
      <c r="AD58" s="0">
        <f>IF(AND(AD$9&gt;=$E58,AD$9&lt;=$F58),"■","")</f>
      </c>
      <c r="AE58" s="0">
        <f>IF(AND(AE$9&gt;=$E58,AE$9&lt;=$F58),"■","")</f>
      </c>
      <c r="AF58" s="0">
        <f>IF(AND(AF$9&gt;=$E58,AF$9&lt;=$F58),"■","")</f>
      </c>
      <c r="AG58" s="0">
        <f>IF(AND(AG$9&gt;=$E58,AG$9&lt;=$F58),"■","")</f>
      </c>
      <c r="AH58" s="0">
        <f>IF(AND(AH$9&gt;=$E58,AH$9&lt;=$F58),"■","")</f>
      </c>
      <c r="AI58" s="0">
        <f>IF(AND(AI$9&gt;=$E58,AI$9&lt;=$F58),"■","")</f>
      </c>
      <c r="AJ58" s="0">
        <f>IF(AND(AJ$9&gt;=$E58,AJ$9&lt;=$F58),"■","")</f>
      </c>
      <c r="AK58" s="0">
        <f>IF(AND(AK$9&gt;=$E58,AK$9&lt;=$F58),"■","")</f>
      </c>
      <c r="AL58" s="0">
        <f>IF(AND(AL$9&gt;=$E58,AL$9&lt;=$F58),"■","")</f>
      </c>
      <c r="AM58" s="0">
        <f>IF(AND(AM$9&gt;=$E58,AM$9&lt;=$F58),"■","")</f>
      </c>
      <c r="AN58" s="0">
        <f>IF(AND(AN$9&gt;=$E58,AN$9&lt;=$F58),"■","")</f>
      </c>
      <c r="AO58" s="0">
        <f>IF(AND(AO$9&gt;=$E58,AO$9&lt;=$F58),"■","")</f>
      </c>
      <c r="AP58" s="0">
        <f>IF(AND(AP$9&gt;=$E58,AP$9&lt;=$F58),"■","")</f>
      </c>
      <c r="AQ58" s="0">
        <f>IF(AND(AQ$9&gt;=$E58,AQ$9&lt;=$F58),"■","")</f>
      </c>
      <c r="AR58" s="0">
        <f>IF(AND(AR$9&gt;=$E58,AR$9&lt;=$F58),"■","")</f>
      </c>
      <c r="AS58" s="0">
        <f>IF(AND(AS$9&gt;=$E58,AS$9&lt;=$F58),"■","")</f>
      </c>
      <c r="AT58" s="0">
        <f>IF(AND(AT$9&gt;=$E58,AT$9&lt;=$F58),"■","")</f>
      </c>
      <c r="AU58" s="0">
        <f>IF(AND(AU$9&gt;=$E58,AU$9&lt;=$F58),"■","")</f>
      </c>
      <c r="AV58" s="0">
        <f>IF(AND(AV$9&gt;=$E58,AV$9&lt;=$F58),"■","")</f>
      </c>
      <c r="AW58" s="0">
        <f>IF(AND(AW$9&gt;=$E58,AW$9&lt;=$F58),"■","")</f>
      </c>
      <c r="AX58" s="0">
        <f>IF(AND(AX$9&gt;=$E58,AX$9&lt;=$F58),"■","")</f>
      </c>
      <c r="AY58" s="0">
        <f>IF(AND(AY$9&gt;=$E58,AY$9&lt;=$F58),"■","")</f>
      </c>
      <c r="AZ58" s="0">
        <f>IF(AND(AZ$9&gt;=$E58,AZ$9&lt;=$F58),"■","")</f>
      </c>
      <c r="BA58" s="0">
        <f>IF(AND(BA$9&gt;=$E58,BA$9&lt;=$F58),"■","")</f>
      </c>
      <c r="BB58" s="0">
        <f>IF(AND(BB$9&gt;=$E58,BB$9&lt;=$F58),"■","")</f>
      </c>
      <c r="BC58" s="0">
        <f>IF(AND(BC$9&gt;=$E58,BC$9&lt;=$F58),"■","")</f>
      </c>
      <c r="BD58" s="0">
        <f>IF(AND(BD$9&gt;=$E58,BD$9&lt;=$F58),"■","")</f>
      </c>
      <c r="BE58" s="0">
        <f>IF(AND(BE$9&gt;=$E58,BE$9&lt;=$F58),"■","")</f>
      </c>
      <c r="BF58" s="0">
        <f>IF(AND(BF$9&gt;=$E58,BF$9&lt;=$F58),"■","")</f>
      </c>
      <c r="BG58" s="0">
        <f>IF(AND(BG$9&gt;=$E58,BG$9&lt;=$F58),"■","")</f>
      </c>
      <c r="BH58" s="0">
        <f>IF(AND(BH$9&gt;=$E58,BH$9&lt;=$F58),"■","")</f>
      </c>
      <c r="BI58" s="0">
        <f>IF(AND(BI$9&gt;=$E58,BI$9&lt;=$F58),"■","")</f>
      </c>
      <c r="BJ58" s="0">
        <f>IF(AND(BJ$9&gt;=$E58,BJ$9&lt;=$F58),"■","")</f>
      </c>
      <c r="BK58" s="0">
        <f>IF(AND(BK$9&gt;=$E58,BK$9&lt;=$F58),"■","")</f>
      </c>
      <c r="BL58" s="0">
        <f>IF(AND(BL$9&gt;=$E58,BL$9&lt;=$F58),"■","")</f>
      </c>
      <c r="BM58" s="0">
        <f>IF(AND(BM$9&gt;=$E58,BM$9&lt;=$F58),"■","")</f>
      </c>
      <c r="BN58" s="0">
        <f>IF(AND(BN$9&gt;=$E58,BN$9&lt;=$F58),"■","")</f>
      </c>
      <c r="BO58" s="0">
        <f>IF(AND(BO$9&gt;=$E58,BO$9&lt;=$F58),"■","")</f>
      </c>
      <c r="BP58" s="0">
        <f>IF(AND(BP$9&gt;=$E58,BP$9&lt;=$F58),"■","")</f>
      </c>
      <c r="BQ58" s="0">
        <f>IF(AND(BQ$9&gt;=$E58,BQ$9&lt;=$F58),"■","")</f>
      </c>
      <c r="BR58" s="0">
        <f>IF(AND(BR$9&gt;=$E58,BR$9&lt;=$F58),"■","")</f>
      </c>
      <c r="BS58" s="0">
        <f>IF(AND(BS$9&gt;=$E58,BS$9&lt;=$F58),"■","")</f>
      </c>
      <c r="BT58" s="0">
        <f>IF(AND(BT$9&gt;=$E58,BT$9&lt;=$F58),"■","")</f>
      </c>
      <c r="BU58" s="0">
        <f>IF(AND(BU$9&gt;=$E58,BU$9&lt;=$F58),"■","")</f>
      </c>
      <c r="BV58" s="0">
        <f>IF(AND(BV$9&gt;=$E58,BV$9&lt;=$F58),"■","")</f>
      </c>
      <c r="BW58" s="0">
        <f>IF(AND(BW$9&gt;=$E58,BW$9&lt;=$F58),"■","")</f>
      </c>
    </row>
    <row r="59">
      <c r="A59" s="0" t="inlineStr">
        <is>
          <t>P002-049</t>
        </is>
      </c>
      <c r="B59" s="0" t="inlineStr">
        <is>
          <t/>
        </is>
      </c>
      <c r="C59" s="0" t="inlineStr">
        <is>
          <t/>
        </is>
      </c>
      <c r="D59" s="0" t="inlineStr">
        <is>
          <t/>
        </is>
      </c>
      <c r="E59" s="0" t="inlineStr">
        <is>
          <t/>
        </is>
      </c>
      <c r="F59" s="0" t="inlineStr">
        <is>
          <t/>
        </is>
      </c>
      <c r="G59" s="0" t="inlineStr">
        <is>
          <t/>
        </is>
      </c>
      <c r="H59" s="0" t="inlineStr">
        <is>
          <t/>
        </is>
      </c>
      <c r="I59" s="0" t="inlineStr">
        <is>
          <t/>
        </is>
      </c>
      <c r="J59" s="0">
        <f>SUMIFS('Suivi Temps'!$D:$D,'Suivi Temps'!$A:$A,"P002-049")</f>
      </c>
      <c r="K59" s="0" t="inlineStr">
        <is>
          <t/>
        </is>
      </c>
      <c r="L59" s="0" t="inlineStr">
        <is>
          <t/>
        </is>
      </c>
      <c r="M59" s="0" t="inlineStr">
        <is>
          <t/>
        </is>
      </c>
      <c r="N59" s="0" t="inlineStr">
        <is>
          <t/>
        </is>
      </c>
      <c r="O59" s="0" t="inlineStr">
        <is>
          <t/>
        </is>
      </c>
      <c r="P59" s="0">
        <f>IF(AND(P$9&gt;=$E59,P$9&lt;=$F59),"■","")</f>
      </c>
      <c r="Q59" s="0">
        <f>IF(AND(Q$9&gt;=$E59,Q$9&lt;=$F59),"■","")</f>
      </c>
      <c r="R59" s="0">
        <f>IF(AND(R$9&gt;=$E59,R$9&lt;=$F59),"■","")</f>
      </c>
      <c r="S59" s="0">
        <f>IF(AND(S$9&gt;=$E59,S$9&lt;=$F59),"■","")</f>
      </c>
      <c r="T59" s="0">
        <f>IF(AND(T$9&gt;=$E59,T$9&lt;=$F59),"■","")</f>
      </c>
      <c r="U59" s="0">
        <f>IF(AND(U$9&gt;=$E59,U$9&lt;=$F59),"■","")</f>
      </c>
      <c r="V59" s="0">
        <f>IF(AND(V$9&gt;=$E59,V$9&lt;=$F59),"■","")</f>
      </c>
      <c r="W59" s="0">
        <f>IF(AND(W$9&gt;=$E59,W$9&lt;=$F59),"■","")</f>
      </c>
      <c r="X59" s="0">
        <f>IF(AND(X$9&gt;=$E59,X$9&lt;=$F59),"■","")</f>
      </c>
      <c r="Y59" s="0">
        <f>IF(AND(Y$9&gt;=$E59,Y$9&lt;=$F59),"■","")</f>
      </c>
      <c r="Z59" s="0">
        <f>IF(AND(Z$9&gt;=$E59,Z$9&lt;=$F59),"■","")</f>
      </c>
      <c r="AA59" s="0">
        <f>IF(AND(AA$9&gt;=$E59,AA$9&lt;=$F59),"■","")</f>
      </c>
      <c r="AB59" s="0">
        <f>IF(AND(AB$9&gt;=$E59,AB$9&lt;=$F59),"■","")</f>
      </c>
      <c r="AC59" s="0">
        <f>IF(AND(AC$9&gt;=$E59,AC$9&lt;=$F59),"■","")</f>
      </c>
      <c r="AD59" s="0">
        <f>IF(AND(AD$9&gt;=$E59,AD$9&lt;=$F59),"■","")</f>
      </c>
      <c r="AE59" s="0">
        <f>IF(AND(AE$9&gt;=$E59,AE$9&lt;=$F59),"■","")</f>
      </c>
      <c r="AF59" s="0">
        <f>IF(AND(AF$9&gt;=$E59,AF$9&lt;=$F59),"■","")</f>
      </c>
      <c r="AG59" s="0">
        <f>IF(AND(AG$9&gt;=$E59,AG$9&lt;=$F59),"■","")</f>
      </c>
      <c r="AH59" s="0">
        <f>IF(AND(AH$9&gt;=$E59,AH$9&lt;=$F59),"■","")</f>
      </c>
      <c r="AI59" s="0">
        <f>IF(AND(AI$9&gt;=$E59,AI$9&lt;=$F59),"■","")</f>
      </c>
      <c r="AJ59" s="0">
        <f>IF(AND(AJ$9&gt;=$E59,AJ$9&lt;=$F59),"■","")</f>
      </c>
      <c r="AK59" s="0">
        <f>IF(AND(AK$9&gt;=$E59,AK$9&lt;=$F59),"■","")</f>
      </c>
      <c r="AL59" s="0">
        <f>IF(AND(AL$9&gt;=$E59,AL$9&lt;=$F59),"■","")</f>
      </c>
      <c r="AM59" s="0">
        <f>IF(AND(AM$9&gt;=$E59,AM$9&lt;=$F59),"■","")</f>
      </c>
      <c r="AN59" s="0">
        <f>IF(AND(AN$9&gt;=$E59,AN$9&lt;=$F59),"■","")</f>
      </c>
      <c r="AO59" s="0">
        <f>IF(AND(AO$9&gt;=$E59,AO$9&lt;=$F59),"■","")</f>
      </c>
      <c r="AP59" s="0">
        <f>IF(AND(AP$9&gt;=$E59,AP$9&lt;=$F59),"■","")</f>
      </c>
      <c r="AQ59" s="0">
        <f>IF(AND(AQ$9&gt;=$E59,AQ$9&lt;=$F59),"■","")</f>
      </c>
      <c r="AR59" s="0">
        <f>IF(AND(AR$9&gt;=$E59,AR$9&lt;=$F59),"■","")</f>
      </c>
      <c r="AS59" s="0">
        <f>IF(AND(AS$9&gt;=$E59,AS$9&lt;=$F59),"■","")</f>
      </c>
      <c r="AT59" s="0">
        <f>IF(AND(AT$9&gt;=$E59,AT$9&lt;=$F59),"■","")</f>
      </c>
      <c r="AU59" s="0">
        <f>IF(AND(AU$9&gt;=$E59,AU$9&lt;=$F59),"■","")</f>
      </c>
      <c r="AV59" s="0">
        <f>IF(AND(AV$9&gt;=$E59,AV$9&lt;=$F59),"■","")</f>
      </c>
      <c r="AW59" s="0">
        <f>IF(AND(AW$9&gt;=$E59,AW$9&lt;=$F59),"■","")</f>
      </c>
      <c r="AX59" s="0">
        <f>IF(AND(AX$9&gt;=$E59,AX$9&lt;=$F59),"■","")</f>
      </c>
      <c r="AY59" s="0">
        <f>IF(AND(AY$9&gt;=$E59,AY$9&lt;=$F59),"■","")</f>
      </c>
      <c r="AZ59" s="0">
        <f>IF(AND(AZ$9&gt;=$E59,AZ$9&lt;=$F59),"■","")</f>
      </c>
      <c r="BA59" s="0">
        <f>IF(AND(BA$9&gt;=$E59,BA$9&lt;=$F59),"■","")</f>
      </c>
      <c r="BB59" s="0">
        <f>IF(AND(BB$9&gt;=$E59,BB$9&lt;=$F59),"■","")</f>
      </c>
      <c r="BC59" s="0">
        <f>IF(AND(BC$9&gt;=$E59,BC$9&lt;=$F59),"■","")</f>
      </c>
      <c r="BD59" s="0">
        <f>IF(AND(BD$9&gt;=$E59,BD$9&lt;=$F59),"■","")</f>
      </c>
      <c r="BE59" s="0">
        <f>IF(AND(BE$9&gt;=$E59,BE$9&lt;=$F59),"■","")</f>
      </c>
      <c r="BF59" s="0">
        <f>IF(AND(BF$9&gt;=$E59,BF$9&lt;=$F59),"■","")</f>
      </c>
      <c r="BG59" s="0">
        <f>IF(AND(BG$9&gt;=$E59,BG$9&lt;=$F59),"■","")</f>
      </c>
      <c r="BH59" s="0">
        <f>IF(AND(BH$9&gt;=$E59,BH$9&lt;=$F59),"■","")</f>
      </c>
      <c r="BI59" s="0">
        <f>IF(AND(BI$9&gt;=$E59,BI$9&lt;=$F59),"■","")</f>
      </c>
      <c r="BJ59" s="0">
        <f>IF(AND(BJ$9&gt;=$E59,BJ$9&lt;=$F59),"■","")</f>
      </c>
      <c r="BK59" s="0">
        <f>IF(AND(BK$9&gt;=$E59,BK$9&lt;=$F59),"■","")</f>
      </c>
      <c r="BL59" s="0">
        <f>IF(AND(BL$9&gt;=$E59,BL$9&lt;=$F59),"■","")</f>
      </c>
      <c r="BM59" s="0">
        <f>IF(AND(BM$9&gt;=$E59,BM$9&lt;=$F59),"■","")</f>
      </c>
      <c r="BN59" s="0">
        <f>IF(AND(BN$9&gt;=$E59,BN$9&lt;=$F59),"■","")</f>
      </c>
      <c r="BO59" s="0">
        <f>IF(AND(BO$9&gt;=$E59,BO$9&lt;=$F59),"■","")</f>
      </c>
      <c r="BP59" s="0">
        <f>IF(AND(BP$9&gt;=$E59,BP$9&lt;=$F59),"■","")</f>
      </c>
      <c r="BQ59" s="0">
        <f>IF(AND(BQ$9&gt;=$E59,BQ$9&lt;=$F59),"■","")</f>
      </c>
      <c r="BR59" s="0">
        <f>IF(AND(BR$9&gt;=$E59,BR$9&lt;=$F59),"■","")</f>
      </c>
      <c r="BS59" s="0">
        <f>IF(AND(BS$9&gt;=$E59,BS$9&lt;=$F59),"■","")</f>
      </c>
      <c r="BT59" s="0">
        <f>IF(AND(BT$9&gt;=$E59,BT$9&lt;=$F59),"■","")</f>
      </c>
      <c r="BU59" s="0">
        <f>IF(AND(BU$9&gt;=$E59,BU$9&lt;=$F59),"■","")</f>
      </c>
      <c r="BV59" s="0">
        <f>IF(AND(BV$9&gt;=$E59,BV$9&lt;=$F59),"■","")</f>
      </c>
      <c r="BW59" s="0">
        <f>IF(AND(BW$9&gt;=$E59,BW$9&lt;=$F59),"■","")</f>
      </c>
    </row>
    <row r="60">
      <c r="A60" s="0" t="inlineStr">
        <is>
          <t>P002-050</t>
        </is>
      </c>
      <c r="B60" s="0" t="inlineStr">
        <is>
          <t/>
        </is>
      </c>
      <c r="C60" s="0" t="inlineStr">
        <is>
          <t/>
        </is>
      </c>
      <c r="D60" s="0" t="inlineStr">
        <is>
          <t/>
        </is>
      </c>
      <c r="E60" s="0" t="inlineStr">
        <is>
          <t/>
        </is>
      </c>
      <c r="F60" s="0" t="inlineStr">
        <is>
          <t/>
        </is>
      </c>
      <c r="G60" s="0" t="inlineStr">
        <is>
          <t/>
        </is>
      </c>
      <c r="H60" s="0" t="inlineStr">
        <is>
          <t/>
        </is>
      </c>
      <c r="I60" s="0" t="inlineStr">
        <is>
          <t/>
        </is>
      </c>
      <c r="J60" s="0">
        <f>SUMIFS('Suivi Temps'!$D:$D,'Suivi Temps'!$A:$A,"P002-050")</f>
      </c>
      <c r="K60" s="0" t="inlineStr">
        <is>
          <t/>
        </is>
      </c>
      <c r="L60" s="0" t="inlineStr">
        <is>
          <t/>
        </is>
      </c>
      <c r="M60" s="0" t="inlineStr">
        <is>
          <t/>
        </is>
      </c>
      <c r="N60" s="0" t="inlineStr">
        <is>
          <t/>
        </is>
      </c>
      <c r="O60" s="0" t="inlineStr">
        <is>
          <t/>
        </is>
      </c>
      <c r="P60" s="0">
        <f>IF(AND(P$9&gt;=$E60,P$9&lt;=$F60),"■","")</f>
      </c>
      <c r="Q60" s="0">
        <f>IF(AND(Q$9&gt;=$E60,Q$9&lt;=$F60),"■","")</f>
      </c>
      <c r="R60" s="0">
        <f>IF(AND(R$9&gt;=$E60,R$9&lt;=$F60),"■","")</f>
      </c>
      <c r="S60" s="0">
        <f>IF(AND(S$9&gt;=$E60,S$9&lt;=$F60),"■","")</f>
      </c>
      <c r="T60" s="0">
        <f>IF(AND(T$9&gt;=$E60,T$9&lt;=$F60),"■","")</f>
      </c>
      <c r="U60" s="0">
        <f>IF(AND(U$9&gt;=$E60,U$9&lt;=$F60),"■","")</f>
      </c>
      <c r="V60" s="0">
        <f>IF(AND(V$9&gt;=$E60,V$9&lt;=$F60),"■","")</f>
      </c>
      <c r="W60" s="0">
        <f>IF(AND(W$9&gt;=$E60,W$9&lt;=$F60),"■","")</f>
      </c>
      <c r="X60" s="0">
        <f>IF(AND(X$9&gt;=$E60,X$9&lt;=$F60),"■","")</f>
      </c>
      <c r="Y60" s="0">
        <f>IF(AND(Y$9&gt;=$E60,Y$9&lt;=$F60),"■","")</f>
      </c>
      <c r="Z60" s="0">
        <f>IF(AND(Z$9&gt;=$E60,Z$9&lt;=$F60),"■","")</f>
      </c>
      <c r="AA60" s="0">
        <f>IF(AND(AA$9&gt;=$E60,AA$9&lt;=$F60),"■","")</f>
      </c>
      <c r="AB60" s="0">
        <f>IF(AND(AB$9&gt;=$E60,AB$9&lt;=$F60),"■","")</f>
      </c>
      <c r="AC60" s="0">
        <f>IF(AND(AC$9&gt;=$E60,AC$9&lt;=$F60),"■","")</f>
      </c>
      <c r="AD60" s="0">
        <f>IF(AND(AD$9&gt;=$E60,AD$9&lt;=$F60),"■","")</f>
      </c>
      <c r="AE60" s="0">
        <f>IF(AND(AE$9&gt;=$E60,AE$9&lt;=$F60),"■","")</f>
      </c>
      <c r="AF60" s="0">
        <f>IF(AND(AF$9&gt;=$E60,AF$9&lt;=$F60),"■","")</f>
      </c>
      <c r="AG60" s="0">
        <f>IF(AND(AG$9&gt;=$E60,AG$9&lt;=$F60),"■","")</f>
      </c>
      <c r="AH60" s="0">
        <f>IF(AND(AH$9&gt;=$E60,AH$9&lt;=$F60),"■","")</f>
      </c>
      <c r="AI60" s="0">
        <f>IF(AND(AI$9&gt;=$E60,AI$9&lt;=$F60),"■","")</f>
      </c>
      <c r="AJ60" s="0">
        <f>IF(AND(AJ$9&gt;=$E60,AJ$9&lt;=$F60),"■","")</f>
      </c>
      <c r="AK60" s="0">
        <f>IF(AND(AK$9&gt;=$E60,AK$9&lt;=$F60),"■","")</f>
      </c>
      <c r="AL60" s="0">
        <f>IF(AND(AL$9&gt;=$E60,AL$9&lt;=$F60),"■","")</f>
      </c>
      <c r="AM60" s="0">
        <f>IF(AND(AM$9&gt;=$E60,AM$9&lt;=$F60),"■","")</f>
      </c>
      <c r="AN60" s="0">
        <f>IF(AND(AN$9&gt;=$E60,AN$9&lt;=$F60),"■","")</f>
      </c>
      <c r="AO60" s="0">
        <f>IF(AND(AO$9&gt;=$E60,AO$9&lt;=$F60),"■","")</f>
      </c>
      <c r="AP60" s="0">
        <f>IF(AND(AP$9&gt;=$E60,AP$9&lt;=$F60),"■","")</f>
      </c>
      <c r="AQ60" s="0">
        <f>IF(AND(AQ$9&gt;=$E60,AQ$9&lt;=$F60),"■","")</f>
      </c>
      <c r="AR60" s="0">
        <f>IF(AND(AR$9&gt;=$E60,AR$9&lt;=$F60),"■","")</f>
      </c>
      <c r="AS60" s="0">
        <f>IF(AND(AS$9&gt;=$E60,AS$9&lt;=$F60),"■","")</f>
      </c>
      <c r="AT60" s="0">
        <f>IF(AND(AT$9&gt;=$E60,AT$9&lt;=$F60),"■","")</f>
      </c>
      <c r="AU60" s="0">
        <f>IF(AND(AU$9&gt;=$E60,AU$9&lt;=$F60),"■","")</f>
      </c>
      <c r="AV60" s="0">
        <f>IF(AND(AV$9&gt;=$E60,AV$9&lt;=$F60),"■","")</f>
      </c>
      <c r="AW60" s="0">
        <f>IF(AND(AW$9&gt;=$E60,AW$9&lt;=$F60),"■","")</f>
      </c>
      <c r="AX60" s="0">
        <f>IF(AND(AX$9&gt;=$E60,AX$9&lt;=$F60),"■","")</f>
      </c>
      <c r="AY60" s="0">
        <f>IF(AND(AY$9&gt;=$E60,AY$9&lt;=$F60),"■","")</f>
      </c>
      <c r="AZ60" s="0">
        <f>IF(AND(AZ$9&gt;=$E60,AZ$9&lt;=$F60),"■","")</f>
      </c>
      <c r="BA60" s="0">
        <f>IF(AND(BA$9&gt;=$E60,BA$9&lt;=$F60),"■","")</f>
      </c>
      <c r="BB60" s="0">
        <f>IF(AND(BB$9&gt;=$E60,BB$9&lt;=$F60),"■","")</f>
      </c>
      <c r="BC60" s="0">
        <f>IF(AND(BC$9&gt;=$E60,BC$9&lt;=$F60),"■","")</f>
      </c>
      <c r="BD60" s="0">
        <f>IF(AND(BD$9&gt;=$E60,BD$9&lt;=$F60),"■","")</f>
      </c>
      <c r="BE60" s="0">
        <f>IF(AND(BE$9&gt;=$E60,BE$9&lt;=$F60),"■","")</f>
      </c>
      <c r="BF60" s="0">
        <f>IF(AND(BF$9&gt;=$E60,BF$9&lt;=$F60),"■","")</f>
      </c>
      <c r="BG60" s="0">
        <f>IF(AND(BG$9&gt;=$E60,BG$9&lt;=$F60),"■","")</f>
      </c>
      <c r="BH60" s="0">
        <f>IF(AND(BH$9&gt;=$E60,BH$9&lt;=$F60),"■","")</f>
      </c>
      <c r="BI60" s="0">
        <f>IF(AND(BI$9&gt;=$E60,BI$9&lt;=$F60),"■","")</f>
      </c>
      <c r="BJ60" s="0">
        <f>IF(AND(BJ$9&gt;=$E60,BJ$9&lt;=$F60),"■","")</f>
      </c>
      <c r="BK60" s="0">
        <f>IF(AND(BK$9&gt;=$E60,BK$9&lt;=$F60),"■","")</f>
      </c>
      <c r="BL60" s="0">
        <f>IF(AND(BL$9&gt;=$E60,BL$9&lt;=$F60),"■","")</f>
      </c>
      <c r="BM60" s="0">
        <f>IF(AND(BM$9&gt;=$E60,BM$9&lt;=$F60),"■","")</f>
      </c>
      <c r="BN60" s="0">
        <f>IF(AND(BN$9&gt;=$E60,BN$9&lt;=$F60),"■","")</f>
      </c>
      <c r="BO60" s="0">
        <f>IF(AND(BO$9&gt;=$E60,BO$9&lt;=$F60),"■","")</f>
      </c>
      <c r="BP60" s="0">
        <f>IF(AND(BP$9&gt;=$E60,BP$9&lt;=$F60),"■","")</f>
      </c>
      <c r="BQ60" s="0">
        <f>IF(AND(BQ$9&gt;=$E60,BQ$9&lt;=$F60),"■","")</f>
      </c>
      <c r="BR60" s="0">
        <f>IF(AND(BR$9&gt;=$E60,BR$9&lt;=$F60),"■","")</f>
      </c>
      <c r="BS60" s="0">
        <f>IF(AND(BS$9&gt;=$E60,BS$9&lt;=$F60),"■","")</f>
      </c>
      <c r="BT60" s="0">
        <f>IF(AND(BT$9&gt;=$E60,BT$9&lt;=$F60),"■","")</f>
      </c>
      <c r="BU60" s="0">
        <f>IF(AND(BU$9&gt;=$E60,BU$9&lt;=$F60),"■","")</f>
      </c>
      <c r="BV60" s="0">
        <f>IF(AND(BV$9&gt;=$E60,BV$9&lt;=$F60),"■","")</f>
      </c>
      <c r="BW60" s="0">
        <f>IF(AND(BW$9&gt;=$E60,BW$9&lt;=$F60),"■","")</f>
      </c>
    </row>
    <row r="61">
      <c r="A61" s="0" t="inlineStr">
        <is>
          <t>P002-051</t>
        </is>
      </c>
      <c r="B61" s="0" t="inlineStr">
        <is>
          <t/>
        </is>
      </c>
      <c r="C61" s="0" t="inlineStr">
        <is>
          <t/>
        </is>
      </c>
      <c r="D61" s="0" t="inlineStr">
        <is>
          <t/>
        </is>
      </c>
      <c r="E61" s="0" t="inlineStr">
        <is>
          <t/>
        </is>
      </c>
      <c r="F61" s="0" t="inlineStr">
        <is>
          <t/>
        </is>
      </c>
      <c r="G61" s="0" t="inlineStr">
        <is>
          <t/>
        </is>
      </c>
      <c r="H61" s="0" t="inlineStr">
        <is>
          <t/>
        </is>
      </c>
      <c r="I61" s="0" t="inlineStr">
        <is>
          <t/>
        </is>
      </c>
      <c r="J61" s="0">
        <f>SUMIFS('Suivi Temps'!$D:$D,'Suivi Temps'!$A:$A,"P002-051")</f>
      </c>
      <c r="K61" s="0" t="inlineStr">
        <is>
          <t/>
        </is>
      </c>
      <c r="L61" s="0" t="inlineStr">
        <is>
          <t/>
        </is>
      </c>
      <c r="M61" s="0" t="inlineStr">
        <is>
          <t/>
        </is>
      </c>
      <c r="N61" s="0" t="inlineStr">
        <is>
          <t/>
        </is>
      </c>
      <c r="O61" s="0" t="inlineStr">
        <is>
          <t/>
        </is>
      </c>
      <c r="P61" s="0">
        <f>IF(AND(P$9&gt;=$E61,P$9&lt;=$F61),"■","")</f>
      </c>
      <c r="Q61" s="0">
        <f>IF(AND(Q$9&gt;=$E61,Q$9&lt;=$F61),"■","")</f>
      </c>
      <c r="R61" s="0">
        <f>IF(AND(R$9&gt;=$E61,R$9&lt;=$F61),"■","")</f>
      </c>
      <c r="S61" s="0">
        <f>IF(AND(S$9&gt;=$E61,S$9&lt;=$F61),"■","")</f>
      </c>
      <c r="T61" s="0">
        <f>IF(AND(T$9&gt;=$E61,T$9&lt;=$F61),"■","")</f>
      </c>
      <c r="U61" s="0">
        <f>IF(AND(U$9&gt;=$E61,U$9&lt;=$F61),"■","")</f>
      </c>
      <c r="V61" s="0">
        <f>IF(AND(V$9&gt;=$E61,V$9&lt;=$F61),"■","")</f>
      </c>
      <c r="W61" s="0">
        <f>IF(AND(W$9&gt;=$E61,W$9&lt;=$F61),"■","")</f>
      </c>
      <c r="X61" s="0">
        <f>IF(AND(X$9&gt;=$E61,X$9&lt;=$F61),"■","")</f>
      </c>
      <c r="Y61" s="0">
        <f>IF(AND(Y$9&gt;=$E61,Y$9&lt;=$F61),"■","")</f>
      </c>
      <c r="Z61" s="0">
        <f>IF(AND(Z$9&gt;=$E61,Z$9&lt;=$F61),"■","")</f>
      </c>
      <c r="AA61" s="0">
        <f>IF(AND(AA$9&gt;=$E61,AA$9&lt;=$F61),"■","")</f>
      </c>
      <c r="AB61" s="0">
        <f>IF(AND(AB$9&gt;=$E61,AB$9&lt;=$F61),"■","")</f>
      </c>
      <c r="AC61" s="0">
        <f>IF(AND(AC$9&gt;=$E61,AC$9&lt;=$F61),"■","")</f>
      </c>
      <c r="AD61" s="0">
        <f>IF(AND(AD$9&gt;=$E61,AD$9&lt;=$F61),"■","")</f>
      </c>
      <c r="AE61" s="0">
        <f>IF(AND(AE$9&gt;=$E61,AE$9&lt;=$F61),"■","")</f>
      </c>
      <c r="AF61" s="0">
        <f>IF(AND(AF$9&gt;=$E61,AF$9&lt;=$F61),"■","")</f>
      </c>
      <c r="AG61" s="0">
        <f>IF(AND(AG$9&gt;=$E61,AG$9&lt;=$F61),"■","")</f>
      </c>
      <c r="AH61" s="0">
        <f>IF(AND(AH$9&gt;=$E61,AH$9&lt;=$F61),"■","")</f>
      </c>
      <c r="AI61" s="0">
        <f>IF(AND(AI$9&gt;=$E61,AI$9&lt;=$F61),"■","")</f>
      </c>
      <c r="AJ61" s="0">
        <f>IF(AND(AJ$9&gt;=$E61,AJ$9&lt;=$F61),"■","")</f>
      </c>
      <c r="AK61" s="0">
        <f>IF(AND(AK$9&gt;=$E61,AK$9&lt;=$F61),"■","")</f>
      </c>
      <c r="AL61" s="0">
        <f>IF(AND(AL$9&gt;=$E61,AL$9&lt;=$F61),"■","")</f>
      </c>
      <c r="AM61" s="0">
        <f>IF(AND(AM$9&gt;=$E61,AM$9&lt;=$F61),"■","")</f>
      </c>
      <c r="AN61" s="0">
        <f>IF(AND(AN$9&gt;=$E61,AN$9&lt;=$F61),"■","")</f>
      </c>
      <c r="AO61" s="0">
        <f>IF(AND(AO$9&gt;=$E61,AO$9&lt;=$F61),"■","")</f>
      </c>
      <c r="AP61" s="0">
        <f>IF(AND(AP$9&gt;=$E61,AP$9&lt;=$F61),"■","")</f>
      </c>
      <c r="AQ61" s="0">
        <f>IF(AND(AQ$9&gt;=$E61,AQ$9&lt;=$F61),"■","")</f>
      </c>
      <c r="AR61" s="0">
        <f>IF(AND(AR$9&gt;=$E61,AR$9&lt;=$F61),"■","")</f>
      </c>
      <c r="AS61" s="0">
        <f>IF(AND(AS$9&gt;=$E61,AS$9&lt;=$F61),"■","")</f>
      </c>
      <c r="AT61" s="0">
        <f>IF(AND(AT$9&gt;=$E61,AT$9&lt;=$F61),"■","")</f>
      </c>
      <c r="AU61" s="0">
        <f>IF(AND(AU$9&gt;=$E61,AU$9&lt;=$F61),"■","")</f>
      </c>
      <c r="AV61" s="0">
        <f>IF(AND(AV$9&gt;=$E61,AV$9&lt;=$F61),"■","")</f>
      </c>
      <c r="AW61" s="0">
        <f>IF(AND(AW$9&gt;=$E61,AW$9&lt;=$F61),"■","")</f>
      </c>
      <c r="AX61" s="0">
        <f>IF(AND(AX$9&gt;=$E61,AX$9&lt;=$F61),"■","")</f>
      </c>
      <c r="AY61" s="0">
        <f>IF(AND(AY$9&gt;=$E61,AY$9&lt;=$F61),"■","")</f>
      </c>
      <c r="AZ61" s="0">
        <f>IF(AND(AZ$9&gt;=$E61,AZ$9&lt;=$F61),"■","")</f>
      </c>
      <c r="BA61" s="0">
        <f>IF(AND(BA$9&gt;=$E61,BA$9&lt;=$F61),"■","")</f>
      </c>
      <c r="BB61" s="0">
        <f>IF(AND(BB$9&gt;=$E61,BB$9&lt;=$F61),"■","")</f>
      </c>
      <c r="BC61" s="0">
        <f>IF(AND(BC$9&gt;=$E61,BC$9&lt;=$F61),"■","")</f>
      </c>
      <c r="BD61" s="0">
        <f>IF(AND(BD$9&gt;=$E61,BD$9&lt;=$F61),"■","")</f>
      </c>
      <c r="BE61" s="0">
        <f>IF(AND(BE$9&gt;=$E61,BE$9&lt;=$F61),"■","")</f>
      </c>
      <c r="BF61" s="0">
        <f>IF(AND(BF$9&gt;=$E61,BF$9&lt;=$F61),"■","")</f>
      </c>
      <c r="BG61" s="0">
        <f>IF(AND(BG$9&gt;=$E61,BG$9&lt;=$F61),"■","")</f>
      </c>
      <c r="BH61" s="0">
        <f>IF(AND(BH$9&gt;=$E61,BH$9&lt;=$F61),"■","")</f>
      </c>
      <c r="BI61" s="0">
        <f>IF(AND(BI$9&gt;=$E61,BI$9&lt;=$F61),"■","")</f>
      </c>
      <c r="BJ61" s="0">
        <f>IF(AND(BJ$9&gt;=$E61,BJ$9&lt;=$F61),"■","")</f>
      </c>
      <c r="BK61" s="0">
        <f>IF(AND(BK$9&gt;=$E61,BK$9&lt;=$F61),"■","")</f>
      </c>
      <c r="BL61" s="0">
        <f>IF(AND(BL$9&gt;=$E61,BL$9&lt;=$F61),"■","")</f>
      </c>
      <c r="BM61" s="0">
        <f>IF(AND(BM$9&gt;=$E61,BM$9&lt;=$F61),"■","")</f>
      </c>
      <c r="BN61" s="0">
        <f>IF(AND(BN$9&gt;=$E61,BN$9&lt;=$F61),"■","")</f>
      </c>
      <c r="BO61" s="0">
        <f>IF(AND(BO$9&gt;=$E61,BO$9&lt;=$F61),"■","")</f>
      </c>
      <c r="BP61" s="0">
        <f>IF(AND(BP$9&gt;=$E61,BP$9&lt;=$F61),"■","")</f>
      </c>
      <c r="BQ61" s="0">
        <f>IF(AND(BQ$9&gt;=$E61,BQ$9&lt;=$F61),"■","")</f>
      </c>
      <c r="BR61" s="0">
        <f>IF(AND(BR$9&gt;=$E61,BR$9&lt;=$F61),"■","")</f>
      </c>
      <c r="BS61" s="0">
        <f>IF(AND(BS$9&gt;=$E61,BS$9&lt;=$F61),"■","")</f>
      </c>
      <c r="BT61" s="0">
        <f>IF(AND(BT$9&gt;=$E61,BT$9&lt;=$F61),"■","")</f>
      </c>
      <c r="BU61" s="0">
        <f>IF(AND(BU$9&gt;=$E61,BU$9&lt;=$F61),"■","")</f>
      </c>
      <c r="BV61" s="0">
        <f>IF(AND(BV$9&gt;=$E61,BV$9&lt;=$F61),"■","")</f>
      </c>
      <c r="BW61" s="0">
        <f>IF(AND(BW$9&gt;=$E61,BW$9&lt;=$F61),"■","")</f>
      </c>
    </row>
  </sheetData>
  <mergeCells count="1">
    <mergeCell ref="A1:N1"/>
  </mergeCells>
  <dataValidations count="4">
    <dataValidation type="list" allowBlank="1" showErrorMessage="1" sqref="B10:B60">
      <formula1>Listes!$A$2:$A$5</formula1>
    </dataValidation>
    <dataValidation type="list" allowBlank="1" showErrorMessage="1" sqref="C10:C60">
      <formula1>Projet_002!$A$10:$A$60</formula1>
    </dataValidation>
    <dataValidation type="list" allowBlank="1" showErrorMessage="1" sqref="I10:I60">
      <formula1>Utilisateurs!$A$2:$A$100</formula1>
    </dataValidation>
    <dataValidation type="list" allowBlank="1" showErrorMessage="1" sqref="M10:M60">
      <formula1>Projet_002!$A$10:$A$60</formula1>
    </dataValidation>
  </dataValidations>
  <conditionalFormatting sqref="O10:BW60">
    <cfRule type="expression" priority="1" dxfId="0">
      <formula>AND(O$9&gt;=$E10,O$9&lt;=$F10)</formula>
    </cfRule>
  </conditionalFormatting>
  <pageMargins left="0.7" right="0.7" top="0.75" bottom="0.75" header="0.3" footer="0.3"/>
</worksheet>
</file>